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ishakaur/Desktop/Portfolio/Financial Reporting &amp; Performance Analysis-Netflix/01_Final Deliverables/"/>
    </mc:Choice>
  </mc:AlternateContent>
  <xr:revisionPtr revIDLastSave="0" documentId="13_ncr:1_{EF54EA99-EAAD-1F40-A64E-D3523859F1BF}" xr6:coauthVersionLast="47" xr6:coauthVersionMax="47" xr10:uidLastSave="{00000000-0000-0000-0000-000000000000}"/>
  <bookViews>
    <workbookView xWindow="0" yWindow="660" windowWidth="34560" windowHeight="21680" activeTab="4" xr2:uid="{313D8809-04F5-394A-BC61-D7486CB60E01}"/>
  </bookViews>
  <sheets>
    <sheet name="GL_Raw" sheetId="1" r:id="rId1"/>
    <sheet name="Trial_Balance" sheetId="2" r:id="rId2"/>
    <sheet name="Income_Statement" sheetId="4" r:id="rId3"/>
    <sheet name="Balance_Sheet" sheetId="5" r:id="rId4"/>
    <sheet name="Ratios_Analysis" sheetId="6" r:id="rId5"/>
  </sheets>
  <definedNames>
    <definedName name="_xlnm._FilterDatabase" localSheetId="0" hidden="1">GL_Raw!$A$1:$F$1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13" i="5" s="1"/>
  <c r="B7" i="5"/>
  <c r="B6" i="5"/>
  <c r="B8" i="5" s="1"/>
  <c r="C6" i="6" s="1"/>
  <c r="B11" i="4"/>
  <c r="B12" i="4"/>
  <c r="B13" i="4"/>
  <c r="B14" i="4"/>
  <c r="C7" i="6" s="1"/>
  <c r="B10" i="4"/>
  <c r="C8" i="6" s="1"/>
  <c r="B6" i="4"/>
  <c r="B7" i="4" s="1"/>
  <c r="D12" i="2"/>
  <c r="D3" i="2"/>
  <c r="D4" i="2"/>
  <c r="D5" i="2"/>
  <c r="D6" i="2"/>
  <c r="D7" i="2"/>
  <c r="D8" i="2"/>
  <c r="D9" i="2"/>
  <c r="D10" i="2"/>
  <c r="B15" i="4" s="1"/>
  <c r="D11" i="2"/>
  <c r="D2" i="2"/>
  <c r="D13" i="2" l="1"/>
  <c r="C4" i="6"/>
  <c r="B16" i="4"/>
  <c r="B18" i="4" s="1"/>
  <c r="C5" i="6" l="1"/>
  <c r="B16" i="5"/>
  <c r="B17" i="5" s="1"/>
</calcChain>
</file>

<file path=xl/sharedStrings.xml><?xml version="1.0" encoding="utf-8"?>
<sst xmlns="http://schemas.openxmlformats.org/spreadsheetml/2006/main" count="145" uniqueCount="70">
  <si>
    <t>Date</t>
  </si>
  <si>
    <t>Account</t>
  </si>
  <si>
    <t>Account Type</t>
  </si>
  <si>
    <t>Department</t>
  </si>
  <si>
    <t>Debit</t>
  </si>
  <si>
    <t>Credit</t>
  </si>
  <si>
    <t>Subscription Revenue</t>
  </si>
  <si>
    <t>Revenue</t>
  </si>
  <si>
    <t>Sales</t>
  </si>
  <si>
    <t>Content Licensing Costs</t>
  </si>
  <si>
    <t>Expense</t>
  </si>
  <si>
    <t>Content</t>
  </si>
  <si>
    <t>Payroll Expense</t>
  </si>
  <si>
    <t>HR</t>
  </si>
  <si>
    <t>Marketing Expense</t>
  </si>
  <si>
    <t>Marketing</t>
  </si>
  <si>
    <t>Cloud Infrastructure Expense</t>
  </si>
  <si>
    <t>Technology</t>
  </si>
  <si>
    <t>Cash</t>
  </si>
  <si>
    <t>Asset</t>
  </si>
  <si>
    <t>Finance</t>
  </si>
  <si>
    <t>Accounts Payable</t>
  </si>
  <si>
    <t>Liability</t>
  </si>
  <si>
    <t>Accrued Expenses</t>
  </si>
  <si>
    <t>Office &amp; G&amp;A Expense</t>
  </si>
  <si>
    <t>Admin</t>
  </si>
  <si>
    <t>Accounts Receivable</t>
  </si>
  <si>
    <t>Accrued Content Expense</t>
  </si>
  <si>
    <t>Row Labels</t>
  </si>
  <si>
    <t>Grand Total</t>
  </si>
  <si>
    <t xml:space="preserve"> </t>
  </si>
  <si>
    <t>Total Debit</t>
  </si>
  <si>
    <t>Total Credit</t>
  </si>
  <si>
    <t>Net Balance</t>
  </si>
  <si>
    <t>Financial Statement</t>
  </si>
  <si>
    <t>Balance Sheet</t>
  </si>
  <si>
    <t>Income Statement</t>
  </si>
  <si>
    <t>For the Month Ended March 31, 2025</t>
  </si>
  <si>
    <t>Amount</t>
  </si>
  <si>
    <t>Total Revenue</t>
  </si>
  <si>
    <t>Operating Expenses</t>
  </si>
  <si>
    <t>Total Operating Expenses</t>
  </si>
  <si>
    <t>Operating Income</t>
  </si>
  <si>
    <t>As of March 31, 2025</t>
  </si>
  <si>
    <t>Assets</t>
  </si>
  <si>
    <t>Total Assets</t>
  </si>
  <si>
    <t>Liabilities</t>
  </si>
  <si>
    <t>Total Liabilities</t>
  </si>
  <si>
    <t xml:space="preserve">Equity </t>
  </si>
  <si>
    <t>Retained Earnings</t>
  </si>
  <si>
    <t>Total Liabilities and Equity</t>
  </si>
  <si>
    <t>Key Financial Ratios</t>
  </si>
  <si>
    <t>Ratio</t>
  </si>
  <si>
    <t>Formula</t>
  </si>
  <si>
    <t>Value</t>
  </si>
  <si>
    <t>Gross Profit / Revenue</t>
  </si>
  <si>
    <t>Content Licensing Costs is the primary cost of revenue</t>
  </si>
  <si>
    <t>Operating Income / Revenue</t>
  </si>
  <si>
    <t>Current Ratio</t>
  </si>
  <si>
    <t>Current Assets / Current Liabilities</t>
  </si>
  <si>
    <t>Payroll Expense / Revenue</t>
  </si>
  <si>
    <t>Content Costs / Revenue</t>
  </si>
  <si>
    <t>Content Costs = Content Licensing Costs + Accrued Content Costs</t>
  </si>
  <si>
    <t>Gross Margin %</t>
  </si>
  <si>
    <t>Operating Margin %</t>
  </si>
  <si>
    <t>Payroll Expense Ratio %</t>
  </si>
  <si>
    <t>Content Cost Ratio %</t>
  </si>
  <si>
    <t>Note:</t>
  </si>
  <si>
    <t>Credits are displayed as negative and debits are displayed as positive. This does not reflect the gain or loss.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</si>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</sst>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%"/>
    <numFmt numFmtId="166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/>
    </xf>
    <xf numFmtId="38" fontId="1" fillId="2" borderId="0" xfId="0" applyNumberFormat="1" applyFont="1" applyFill="1" applyAlignment="1">
      <alignment horizontal="center"/>
    </xf>
    <xf numFmtId="38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/>
    </xf>
    <xf numFmtId="38" fontId="1" fillId="0" borderId="2" xfId="0" applyNumberFormat="1" applyFont="1" applyBorder="1"/>
    <xf numFmtId="165" fontId="0" fillId="0" borderId="0" xfId="0" applyNumberFormat="1"/>
    <xf numFmtId="165" fontId="1" fillId="0" borderId="2" xfId="0" applyNumberFormat="1" applyFont="1" applyBorder="1"/>
    <xf numFmtId="166" fontId="0" fillId="0" borderId="0" xfId="0" applyNumberFormat="1"/>
    <xf numFmtId="0" fontId="0" fillId="2" borderId="0" xfId="0" applyFill="1" applyAlignment="1">
      <alignment horizontal="left"/>
    </xf>
    <xf numFmtId="3" fontId="0" fillId="2" borderId="0" xfId="0" applyNumberForma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left"/>
    </dxf>
    <dxf>
      <alignment horizontal="center"/>
    </dxf>
    <dxf>
      <font>
        <b val="0"/>
      </font>
    </dxf>
    <dxf>
      <font>
        <b val="0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7.135980324078" createdVersion="8" refreshedVersion="8" minRefreshableVersion="3" recordCount="20" xr:uid="{12F177CE-5FCE-A547-AC63-7B10C64BA4D5}">
  <cacheSource type="worksheet">
    <worksheetSource ref="A1:F21" sheet="GL_Raw"/>
  </cacheSource>
  <cacheFields count="6">
    <cacheField name="Date" numFmtId="164">
      <sharedItems containsSemiMixedTypes="0" containsNonDate="0" containsDate="1" containsString="0" minDate="2025-03-01T00:00:00" maxDate="2025-03-26T00:00:00"/>
    </cacheField>
    <cacheField name="Account" numFmtId="0">
      <sharedItems count="11">
        <s v="Subscription Revenue"/>
        <s v="Accounts Receivable"/>
        <s v="Content Licensing Costs"/>
        <s v="Accounts Payable"/>
        <s v="Payroll Expense"/>
        <s v="Cash"/>
        <s v="Marketing Expense"/>
        <s v="Cloud Infrastructure Expense"/>
        <s v="Office &amp; G&amp;A Expense"/>
        <s v="Accrued Content Expense"/>
        <s v="Accrued Expenses"/>
      </sharedItems>
    </cacheField>
    <cacheField name="Account Type" numFmtId="0">
      <sharedItems/>
    </cacheField>
    <cacheField name="Department" numFmtId="0">
      <sharedItems/>
    </cacheField>
    <cacheField name="Debit" numFmtId="3">
      <sharedItems containsString="0" containsBlank="1" containsNumber="1" containsInteger="1" minValue="100000" maxValue="4200000"/>
    </cacheField>
    <cacheField name="Credit" numFmtId="3">
      <sharedItems containsString="0" containsBlank="1" containsNumber="1" containsInteger="1" minValue="100000" maxValue="4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5-03-01T00:00:00"/>
    <x v="0"/>
    <s v="Revenue"/>
    <s v="Sales"/>
    <m/>
    <n v="4200000"/>
  </r>
  <r>
    <d v="2025-03-01T00:00:00"/>
    <x v="1"/>
    <s v="Asset"/>
    <s v="Finance"/>
    <n v="4200000"/>
    <m/>
  </r>
  <r>
    <d v="2025-03-02T00:00:00"/>
    <x v="2"/>
    <s v="Expense"/>
    <s v="Content"/>
    <n v="1100000"/>
    <m/>
  </r>
  <r>
    <d v="2025-03-02T00:00:00"/>
    <x v="3"/>
    <s v="Liability"/>
    <s v="Finance"/>
    <m/>
    <n v="1100000"/>
  </r>
  <r>
    <d v="2025-03-05T00:00:00"/>
    <x v="4"/>
    <s v="Expense"/>
    <s v="HR"/>
    <n v="420000"/>
    <m/>
  </r>
  <r>
    <d v="2025-03-05T00:00:00"/>
    <x v="5"/>
    <s v="Asset"/>
    <s v="Finance"/>
    <m/>
    <n v="420000"/>
  </r>
  <r>
    <d v="2025-03-06T00:00:00"/>
    <x v="6"/>
    <s v="Expense"/>
    <s v="Marketing"/>
    <n v="350000"/>
    <m/>
  </r>
  <r>
    <d v="2025-03-06T00:00:00"/>
    <x v="3"/>
    <s v="Liability"/>
    <s v="Finance"/>
    <m/>
    <n v="350000"/>
  </r>
  <r>
    <d v="2025-03-08T00:00:00"/>
    <x v="7"/>
    <s v="Expense"/>
    <s v="Technology"/>
    <n v="275000"/>
    <m/>
  </r>
  <r>
    <d v="2025-03-08T00:00:00"/>
    <x v="3"/>
    <s v="Liability"/>
    <s v="Finance"/>
    <m/>
    <n v="275000"/>
  </r>
  <r>
    <d v="2025-03-10T00:00:00"/>
    <x v="5"/>
    <s v="Asset"/>
    <s v="Finance"/>
    <n v="2000000"/>
    <m/>
  </r>
  <r>
    <d v="2025-03-10T00:00:00"/>
    <x v="1"/>
    <s v="Asset"/>
    <s v="Finance"/>
    <m/>
    <n v="2000000"/>
  </r>
  <r>
    <d v="2025-03-12T00:00:00"/>
    <x v="8"/>
    <s v="Expense"/>
    <s v="Admin"/>
    <n v="125000"/>
    <m/>
  </r>
  <r>
    <d v="2025-03-12T00:00:00"/>
    <x v="3"/>
    <s v="Liability"/>
    <s v="Finance"/>
    <m/>
    <n v="125000"/>
  </r>
  <r>
    <d v="2025-03-15T00:00:00"/>
    <x v="9"/>
    <s v="Expense"/>
    <s v="Content"/>
    <n v="220000"/>
    <m/>
  </r>
  <r>
    <d v="2025-03-15T00:00:00"/>
    <x v="10"/>
    <s v="Liability"/>
    <s v="Finance"/>
    <m/>
    <n v="220000"/>
  </r>
  <r>
    <d v="2025-03-20T00:00:00"/>
    <x v="3"/>
    <s v="Liability"/>
    <s v="Finance"/>
    <n v="200000"/>
    <m/>
  </r>
  <r>
    <d v="2025-03-20T00:00:00"/>
    <x v="5"/>
    <s v="Asset"/>
    <s v="Finance"/>
    <m/>
    <n v="200000"/>
  </r>
  <r>
    <d v="2025-03-25T00:00:00"/>
    <x v="10"/>
    <s v="Liability"/>
    <s v="Finance"/>
    <n v="100000"/>
    <m/>
  </r>
  <r>
    <d v="2025-03-25T00:00:00"/>
    <x v="5"/>
    <s v="Asset"/>
    <s v="Finance"/>
    <m/>
    <n v="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3021B-B11D-8B4D-AC93-F54318E4D2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3" firstHeaderRow="0" firstDataRow="1" firstDataCol="1"/>
  <pivotFields count="6">
    <pivotField numFmtId="164" showAll="0"/>
    <pivotField axis="axisRow" showAll="0">
      <items count="12">
        <item x="3"/>
        <item x="1"/>
        <item x="9"/>
        <item x="10"/>
        <item x="5"/>
        <item x="7"/>
        <item x="2"/>
        <item x="6"/>
        <item x="8"/>
        <item x="4"/>
        <item x="0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ebit" fld="4" baseField="0" baseItem="0" numFmtId="3"/>
    <dataField name="Total Credit" fld="5" baseField="0" baseItem="0" numFmtId="3"/>
  </dataFields>
  <formats count="8"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1" type="button" dataOnly="0" labelOnly="1" outline="0" axis="axisRow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F4B9-F91F-3040-8B8C-A9E45E66D120}">
  <dimension ref="A1:G36"/>
  <sheetViews>
    <sheetView zoomScale="150" zoomScaleNormal="150" workbookViewId="0">
      <pane ySplit="1" topLeftCell="A2" activePane="bottomLeft" state="frozen"/>
      <selection pane="bottomLeft" activeCell="S31" sqref="S31"/>
    </sheetView>
  </sheetViews>
  <sheetFormatPr baseColWidth="10" defaultRowHeight="16" x14ac:dyDescent="0.2"/>
  <cols>
    <col min="1" max="1" width="10.83203125" style="4" bestFit="1" customWidth="1"/>
    <col min="2" max="2" width="24.83203125" bestFit="1" customWidth="1"/>
    <col min="3" max="3" width="17" bestFit="1" customWidth="1"/>
    <col min="4" max="4" width="16.1640625" bestFit="1" customWidth="1"/>
    <col min="5" max="5" width="10.6640625" style="6" bestFit="1" customWidth="1"/>
    <col min="6" max="6" width="11.33203125" style="6" bestFit="1" customWidth="1"/>
    <col min="7" max="7" width="10.6640625" customWidth="1"/>
  </cols>
  <sheetData>
    <row r="1" spans="1:6" x14ac:dyDescent="0.2">
      <c r="A1" s="3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</row>
    <row r="2" spans="1:6" x14ac:dyDescent="0.2">
      <c r="A2" s="4">
        <v>45717</v>
      </c>
      <c r="B2" t="s">
        <v>6</v>
      </c>
      <c r="C2" t="s">
        <v>7</v>
      </c>
      <c r="D2" t="s">
        <v>8</v>
      </c>
      <c r="F2" s="6">
        <v>4200000</v>
      </c>
    </row>
    <row r="3" spans="1:6" x14ac:dyDescent="0.2">
      <c r="A3" s="4">
        <v>45717</v>
      </c>
      <c r="B3" t="s">
        <v>26</v>
      </c>
      <c r="C3" t="s">
        <v>19</v>
      </c>
      <c r="D3" t="s">
        <v>20</v>
      </c>
      <c r="E3" s="6">
        <v>4200000</v>
      </c>
    </row>
    <row r="4" spans="1:6" x14ac:dyDescent="0.2">
      <c r="A4" s="4">
        <v>45718</v>
      </c>
      <c r="B4" t="s">
        <v>9</v>
      </c>
      <c r="C4" t="s">
        <v>10</v>
      </c>
      <c r="D4" t="s">
        <v>11</v>
      </c>
      <c r="E4" s="6">
        <v>1100000</v>
      </c>
    </row>
    <row r="5" spans="1:6" x14ac:dyDescent="0.2">
      <c r="A5" s="4">
        <v>45718</v>
      </c>
      <c r="B5" t="s">
        <v>21</v>
      </c>
      <c r="C5" t="s">
        <v>22</v>
      </c>
      <c r="D5" t="s">
        <v>20</v>
      </c>
      <c r="F5" s="6">
        <v>1100000</v>
      </c>
    </row>
    <row r="6" spans="1:6" x14ac:dyDescent="0.2">
      <c r="A6" s="4">
        <v>45721</v>
      </c>
      <c r="B6" t="s">
        <v>12</v>
      </c>
      <c r="C6" t="s">
        <v>10</v>
      </c>
      <c r="D6" t="s">
        <v>13</v>
      </c>
      <c r="E6" s="6">
        <v>420000</v>
      </c>
    </row>
    <row r="7" spans="1:6" x14ac:dyDescent="0.2">
      <c r="A7" s="4">
        <v>45721</v>
      </c>
      <c r="B7" t="s">
        <v>18</v>
      </c>
      <c r="C7" t="s">
        <v>19</v>
      </c>
      <c r="D7" t="s">
        <v>20</v>
      </c>
      <c r="F7" s="6">
        <v>420000</v>
      </c>
    </row>
    <row r="8" spans="1:6" x14ac:dyDescent="0.2">
      <c r="A8" s="4">
        <v>45722</v>
      </c>
      <c r="B8" t="s">
        <v>14</v>
      </c>
      <c r="C8" t="s">
        <v>10</v>
      </c>
      <c r="D8" t="s">
        <v>15</v>
      </c>
      <c r="E8" s="6">
        <v>350000</v>
      </c>
    </row>
    <row r="9" spans="1:6" x14ac:dyDescent="0.2">
      <c r="A9" s="4">
        <v>45722</v>
      </c>
      <c r="B9" t="s">
        <v>21</v>
      </c>
      <c r="C9" t="s">
        <v>22</v>
      </c>
      <c r="D9" t="s">
        <v>20</v>
      </c>
      <c r="F9" s="6">
        <v>350000</v>
      </c>
    </row>
    <row r="10" spans="1:6" x14ac:dyDescent="0.2">
      <c r="A10" s="4">
        <v>45724</v>
      </c>
      <c r="B10" t="s">
        <v>16</v>
      </c>
      <c r="C10" t="s">
        <v>10</v>
      </c>
      <c r="D10" t="s">
        <v>17</v>
      </c>
      <c r="E10" s="6">
        <v>275000</v>
      </c>
    </row>
    <row r="11" spans="1:6" x14ac:dyDescent="0.2">
      <c r="A11" s="4">
        <v>45724</v>
      </c>
      <c r="B11" t="s">
        <v>21</v>
      </c>
      <c r="C11" t="s">
        <v>22</v>
      </c>
      <c r="D11" t="s">
        <v>20</v>
      </c>
      <c r="F11" s="6">
        <v>275000</v>
      </c>
    </row>
    <row r="12" spans="1:6" x14ac:dyDescent="0.2">
      <c r="A12" s="4">
        <v>45726</v>
      </c>
      <c r="B12" t="s">
        <v>18</v>
      </c>
      <c r="C12" t="s">
        <v>19</v>
      </c>
      <c r="D12" t="s">
        <v>20</v>
      </c>
      <c r="E12" s="6">
        <v>2000000</v>
      </c>
    </row>
    <row r="13" spans="1:6" x14ac:dyDescent="0.2">
      <c r="A13" s="4">
        <v>45726</v>
      </c>
      <c r="B13" t="s">
        <v>26</v>
      </c>
      <c r="C13" t="s">
        <v>19</v>
      </c>
      <c r="D13" t="s">
        <v>20</v>
      </c>
      <c r="F13" s="6">
        <v>2000000</v>
      </c>
    </row>
    <row r="14" spans="1:6" x14ac:dyDescent="0.2">
      <c r="A14" s="4">
        <v>45728</v>
      </c>
      <c r="B14" t="s">
        <v>24</v>
      </c>
      <c r="C14" t="s">
        <v>10</v>
      </c>
      <c r="D14" t="s">
        <v>25</v>
      </c>
      <c r="E14" s="6">
        <v>125000</v>
      </c>
    </row>
    <row r="15" spans="1:6" x14ac:dyDescent="0.2">
      <c r="A15" s="4">
        <v>45728</v>
      </c>
      <c r="B15" t="s">
        <v>21</v>
      </c>
      <c r="C15" t="s">
        <v>22</v>
      </c>
      <c r="D15" t="s">
        <v>20</v>
      </c>
      <c r="F15" s="6">
        <v>125000</v>
      </c>
    </row>
    <row r="16" spans="1:6" x14ac:dyDescent="0.2">
      <c r="A16" s="4">
        <v>45731</v>
      </c>
      <c r="B16" t="s">
        <v>27</v>
      </c>
      <c r="C16" t="s">
        <v>10</v>
      </c>
      <c r="D16" t="s">
        <v>11</v>
      </c>
      <c r="E16" s="6">
        <v>220000</v>
      </c>
    </row>
    <row r="17" spans="1:6" x14ac:dyDescent="0.2">
      <c r="A17" s="4">
        <v>45731</v>
      </c>
      <c r="B17" t="s">
        <v>23</v>
      </c>
      <c r="C17" t="s">
        <v>22</v>
      </c>
      <c r="D17" t="s">
        <v>20</v>
      </c>
      <c r="F17" s="6">
        <v>220000</v>
      </c>
    </row>
    <row r="18" spans="1:6" x14ac:dyDescent="0.2">
      <c r="A18" s="4">
        <v>45736</v>
      </c>
      <c r="B18" t="s">
        <v>21</v>
      </c>
      <c r="C18" t="s">
        <v>22</v>
      </c>
      <c r="D18" t="s">
        <v>20</v>
      </c>
      <c r="E18" s="6">
        <v>200000</v>
      </c>
    </row>
    <row r="19" spans="1:6" x14ac:dyDescent="0.2">
      <c r="A19" s="4">
        <v>45736</v>
      </c>
      <c r="B19" t="s">
        <v>18</v>
      </c>
      <c r="C19" t="s">
        <v>19</v>
      </c>
      <c r="D19" t="s">
        <v>20</v>
      </c>
      <c r="F19" s="6">
        <v>200000</v>
      </c>
    </row>
    <row r="20" spans="1:6" x14ac:dyDescent="0.2">
      <c r="A20" s="4">
        <v>45741</v>
      </c>
      <c r="B20" t="s">
        <v>23</v>
      </c>
      <c r="C20" t="s">
        <v>22</v>
      </c>
      <c r="D20" t="s">
        <v>20</v>
      </c>
      <c r="E20" s="6">
        <v>100000</v>
      </c>
    </row>
    <row r="21" spans="1:6" x14ac:dyDescent="0.2">
      <c r="A21" s="4">
        <v>45741</v>
      </c>
      <c r="B21" t="s">
        <v>18</v>
      </c>
      <c r="C21" t="s">
        <v>19</v>
      </c>
      <c r="D21" t="s">
        <v>20</v>
      </c>
      <c r="F21" s="6">
        <v>100000</v>
      </c>
    </row>
    <row r="36" spans="7:7" x14ac:dyDescent="0.2">
      <c r="G36" t="s">
        <v>30</v>
      </c>
    </row>
  </sheetData>
  <autoFilter ref="A1:F1" xr:uid="{D2FFF4B9-F91F-3040-8B8C-A9E45E66D12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A2C8-F7AF-114E-934F-D8D1424205F2}">
  <dimension ref="A1:E13"/>
  <sheetViews>
    <sheetView showGridLines="0" zoomScale="150" zoomScaleNormal="150" workbookViewId="0">
      <selection activeCell="T16" sqref="T16"/>
    </sheetView>
  </sheetViews>
  <sheetFormatPr baseColWidth="10" defaultRowHeight="16" x14ac:dyDescent="0.2"/>
  <cols>
    <col min="1" max="1" width="24.83203125" bestFit="1" customWidth="1"/>
    <col min="2" max="2" width="11.6640625" bestFit="1" customWidth="1"/>
    <col min="3" max="3" width="12.33203125" bestFit="1" customWidth="1"/>
    <col min="4" max="4" width="12.33203125" style="9" customWidth="1"/>
    <col min="5" max="5" width="17.83203125" style="9" bestFit="1" customWidth="1"/>
  </cols>
  <sheetData>
    <row r="1" spans="1:5" x14ac:dyDescent="0.2">
      <c r="A1" s="11" t="s">
        <v>28</v>
      </c>
      <c r="B1" s="10" t="s">
        <v>31</v>
      </c>
      <c r="C1" s="10" t="s">
        <v>32</v>
      </c>
      <c r="D1" s="8" t="s">
        <v>33</v>
      </c>
      <c r="E1" s="8" t="s">
        <v>34</v>
      </c>
    </row>
    <row r="2" spans="1:5" x14ac:dyDescent="0.2">
      <c r="A2" s="7" t="s">
        <v>21</v>
      </c>
      <c r="B2" s="6">
        <v>200000</v>
      </c>
      <c r="C2" s="6">
        <v>1850000</v>
      </c>
      <c r="D2" s="9">
        <f>B2-C2</f>
        <v>-1650000</v>
      </c>
      <c r="E2" s="9" t="s">
        <v>35</v>
      </c>
    </row>
    <row r="3" spans="1:5" x14ac:dyDescent="0.2">
      <c r="A3" s="7" t="s">
        <v>26</v>
      </c>
      <c r="B3" s="6">
        <v>4200000</v>
      </c>
      <c r="C3" s="6">
        <v>2000000</v>
      </c>
      <c r="D3" s="9">
        <f t="shared" ref="D3:D12" si="0">B3-C3</f>
        <v>2200000</v>
      </c>
      <c r="E3" s="9" t="s">
        <v>35</v>
      </c>
    </row>
    <row r="4" spans="1:5" x14ac:dyDescent="0.2">
      <c r="A4" s="7" t="s">
        <v>27</v>
      </c>
      <c r="B4" s="6">
        <v>220000</v>
      </c>
      <c r="C4" s="6"/>
      <c r="D4" s="9">
        <f t="shared" si="0"/>
        <v>220000</v>
      </c>
      <c r="E4" s="9" t="s">
        <v>36</v>
      </c>
    </row>
    <row r="5" spans="1:5" x14ac:dyDescent="0.2">
      <c r="A5" s="7" t="s">
        <v>23</v>
      </c>
      <c r="B5" s="6">
        <v>100000</v>
      </c>
      <c r="C5" s="6">
        <v>220000</v>
      </c>
      <c r="D5" s="9">
        <f t="shared" si="0"/>
        <v>-120000</v>
      </c>
      <c r="E5" s="9" t="s">
        <v>35</v>
      </c>
    </row>
    <row r="6" spans="1:5" x14ac:dyDescent="0.2">
      <c r="A6" s="7" t="s">
        <v>18</v>
      </c>
      <c r="B6" s="6">
        <v>2000000</v>
      </c>
      <c r="C6" s="6">
        <v>720000</v>
      </c>
      <c r="D6" s="9">
        <f t="shared" si="0"/>
        <v>1280000</v>
      </c>
      <c r="E6" s="9" t="s">
        <v>35</v>
      </c>
    </row>
    <row r="7" spans="1:5" x14ac:dyDescent="0.2">
      <c r="A7" s="7" t="s">
        <v>16</v>
      </c>
      <c r="B7" s="6">
        <v>275000</v>
      </c>
      <c r="C7" s="6"/>
      <c r="D7" s="9">
        <f t="shared" si="0"/>
        <v>275000</v>
      </c>
      <c r="E7" s="9" t="s">
        <v>36</v>
      </c>
    </row>
    <row r="8" spans="1:5" x14ac:dyDescent="0.2">
      <c r="A8" s="7" t="s">
        <v>9</v>
      </c>
      <c r="B8" s="6">
        <v>1100000</v>
      </c>
      <c r="C8" s="6"/>
      <c r="D8" s="9">
        <f t="shared" si="0"/>
        <v>1100000</v>
      </c>
      <c r="E8" s="9" t="s">
        <v>36</v>
      </c>
    </row>
    <row r="9" spans="1:5" x14ac:dyDescent="0.2">
      <c r="A9" s="7" t="s">
        <v>14</v>
      </c>
      <c r="B9" s="6">
        <v>350000</v>
      </c>
      <c r="C9" s="6"/>
      <c r="D9" s="9">
        <f t="shared" si="0"/>
        <v>350000</v>
      </c>
      <c r="E9" s="9" t="s">
        <v>36</v>
      </c>
    </row>
    <row r="10" spans="1:5" x14ac:dyDescent="0.2">
      <c r="A10" s="7" t="s">
        <v>24</v>
      </c>
      <c r="B10" s="6">
        <v>125000</v>
      </c>
      <c r="C10" s="6"/>
      <c r="D10" s="9">
        <f t="shared" si="0"/>
        <v>125000</v>
      </c>
      <c r="E10" s="9" t="s">
        <v>36</v>
      </c>
    </row>
    <row r="11" spans="1:5" x14ac:dyDescent="0.2">
      <c r="A11" s="7" t="s">
        <v>12</v>
      </c>
      <c r="B11" s="6">
        <v>420000</v>
      </c>
      <c r="C11" s="6"/>
      <c r="D11" s="9">
        <f t="shared" si="0"/>
        <v>420000</v>
      </c>
      <c r="E11" s="9" t="s">
        <v>36</v>
      </c>
    </row>
    <row r="12" spans="1:5" x14ac:dyDescent="0.2">
      <c r="A12" s="7" t="s">
        <v>6</v>
      </c>
      <c r="B12" s="6"/>
      <c r="C12" s="6">
        <v>4200000</v>
      </c>
      <c r="D12" s="9">
        <f t="shared" si="0"/>
        <v>-4200000</v>
      </c>
      <c r="E12" s="9" t="s">
        <v>36</v>
      </c>
    </row>
    <row r="13" spans="1:5" x14ac:dyDescent="0.2">
      <c r="A13" s="20" t="s">
        <v>29</v>
      </c>
      <c r="B13" s="21">
        <v>8990000</v>
      </c>
      <c r="C13" s="21">
        <v>8990000</v>
      </c>
      <c r="D13" s="9">
        <f>SUM(D2:D12)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310B-572E-B147-9852-EDF7E26A6FFA}">
  <dimension ref="A1:B24"/>
  <sheetViews>
    <sheetView showGridLines="0" zoomScale="150" zoomScaleNormal="150" workbookViewId="0">
      <selection activeCell="U15" sqref="U15"/>
    </sheetView>
  </sheetViews>
  <sheetFormatPr baseColWidth="10" defaultRowHeight="16" x14ac:dyDescent="0.2"/>
  <cols>
    <col min="1" max="1" width="29" bestFit="1" customWidth="1"/>
    <col min="2" max="2" width="10.83203125" style="9"/>
  </cols>
  <sheetData>
    <row r="1" spans="1:2" ht="22" x14ac:dyDescent="0.3">
      <c r="A1" s="12" t="s">
        <v>36</v>
      </c>
    </row>
    <row r="2" spans="1:2" x14ac:dyDescent="0.2">
      <c r="A2" s="13" t="s">
        <v>37</v>
      </c>
    </row>
    <row r="4" spans="1:2" x14ac:dyDescent="0.2">
      <c r="A4" s="14" t="s">
        <v>1</v>
      </c>
      <c r="B4" s="16" t="s">
        <v>38</v>
      </c>
    </row>
    <row r="5" spans="1:2" x14ac:dyDescent="0.2">
      <c r="A5" s="1" t="s">
        <v>7</v>
      </c>
    </row>
    <row r="6" spans="1:2" x14ac:dyDescent="0.2">
      <c r="A6" t="s">
        <v>6</v>
      </c>
      <c r="B6" s="9">
        <f>SUMIFS(Trial_Balance!$D:$D, Trial_Balance!$A:$A, A6)</f>
        <v>-4200000</v>
      </c>
    </row>
    <row r="7" spans="1:2" x14ac:dyDescent="0.2">
      <c r="A7" s="1" t="s">
        <v>39</v>
      </c>
      <c r="B7" s="9">
        <f>B6</f>
        <v>-4200000</v>
      </c>
    </row>
    <row r="9" spans="1:2" x14ac:dyDescent="0.2">
      <c r="A9" s="1" t="s">
        <v>40</v>
      </c>
    </row>
    <row r="10" spans="1:2" x14ac:dyDescent="0.2">
      <c r="A10" s="7" t="s">
        <v>9</v>
      </c>
      <c r="B10" s="9">
        <f>SUMIFS(Trial_Balance!$D:$D, Trial_Balance!$A:$A, A10)</f>
        <v>1100000</v>
      </c>
    </row>
    <row r="11" spans="1:2" x14ac:dyDescent="0.2">
      <c r="A11" s="7" t="s">
        <v>27</v>
      </c>
      <c r="B11" s="9">
        <f>SUMIFS(Trial_Balance!$D:$D, Trial_Balance!$A:$A, A11)</f>
        <v>220000</v>
      </c>
    </row>
    <row r="12" spans="1:2" x14ac:dyDescent="0.2">
      <c r="A12" s="7" t="s">
        <v>16</v>
      </c>
      <c r="B12" s="9">
        <f>SUMIFS(Trial_Balance!$D:$D, Trial_Balance!$A:$A, A12)</f>
        <v>275000</v>
      </c>
    </row>
    <row r="13" spans="1:2" x14ac:dyDescent="0.2">
      <c r="A13" s="7" t="s">
        <v>14</v>
      </c>
      <c r="B13" s="9">
        <f>SUMIFS(Trial_Balance!$D:$D, Trial_Balance!$A:$A, A13)</f>
        <v>350000</v>
      </c>
    </row>
    <row r="14" spans="1:2" x14ac:dyDescent="0.2">
      <c r="A14" s="7" t="s">
        <v>12</v>
      </c>
      <c r="B14" s="9">
        <f>SUMIFS(Trial_Balance!$D:$D, Trial_Balance!$A:$A, A14)</f>
        <v>420000</v>
      </c>
    </row>
    <row r="15" spans="1:2" x14ac:dyDescent="0.2">
      <c r="A15" s="7" t="s">
        <v>24</v>
      </c>
      <c r="B15" s="9">
        <f>SUMIFS(Trial_Balance!$D:$D, Trial_Balance!$A:$A, A15)</f>
        <v>125000</v>
      </c>
    </row>
    <row r="16" spans="1:2" x14ac:dyDescent="0.2">
      <c r="A16" s="15" t="s">
        <v>41</v>
      </c>
      <c r="B16" s="9">
        <f>SUM(B10:B15)</f>
        <v>2490000</v>
      </c>
    </row>
    <row r="18" spans="1:2" x14ac:dyDescent="0.2">
      <c r="A18" s="15" t="s">
        <v>42</v>
      </c>
      <c r="B18" s="9">
        <f>B7+B16</f>
        <v>-1710000</v>
      </c>
    </row>
    <row r="21" spans="1:2" x14ac:dyDescent="0.2">
      <c r="A21" t="s">
        <v>67</v>
      </c>
    </row>
    <row r="22" spans="1:2" ht="16" customHeight="1" x14ac:dyDescent="0.2">
      <c r="A22" s="22" t="s">
        <v>68</v>
      </c>
      <c r="B22" s="22"/>
    </row>
    <row r="23" spans="1:2" x14ac:dyDescent="0.2">
      <c r="A23" s="22"/>
      <c r="B23" s="22"/>
    </row>
    <row r="24" spans="1:2" x14ac:dyDescent="0.2">
      <c r="A24" s="22"/>
      <c r="B24" s="22"/>
    </row>
  </sheetData>
  <mergeCells count="1">
    <mergeCell ref="A22:B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F7BF-3C04-1744-99AC-E9FDC947DAC6}">
  <dimension ref="A1:B17"/>
  <sheetViews>
    <sheetView showGridLines="0" zoomScale="150" zoomScaleNormal="150" workbookViewId="0">
      <selection activeCell="S21" sqref="S21"/>
    </sheetView>
  </sheetViews>
  <sheetFormatPr baseColWidth="10" defaultRowHeight="16" x14ac:dyDescent="0.2"/>
  <cols>
    <col min="1" max="1" width="22.33203125" bestFit="1" customWidth="1"/>
    <col min="2" max="2" width="10.83203125" style="9"/>
  </cols>
  <sheetData>
    <row r="1" spans="1:2" ht="22" x14ac:dyDescent="0.3">
      <c r="A1" s="12" t="s">
        <v>35</v>
      </c>
    </row>
    <row r="2" spans="1:2" x14ac:dyDescent="0.2">
      <c r="A2" s="13" t="s">
        <v>43</v>
      </c>
    </row>
    <row r="4" spans="1:2" x14ac:dyDescent="0.2">
      <c r="A4" s="14" t="s">
        <v>1</v>
      </c>
      <c r="B4" s="16" t="s">
        <v>38</v>
      </c>
    </row>
    <row r="5" spans="1:2" x14ac:dyDescent="0.2">
      <c r="A5" s="1" t="s">
        <v>44</v>
      </c>
    </row>
    <row r="6" spans="1:2" x14ac:dyDescent="0.2">
      <c r="A6" t="s">
        <v>18</v>
      </c>
      <c r="B6" s="9">
        <f>SUMIFS(Trial_Balance!$D:$D, Trial_Balance!$A:$A, A6)</f>
        <v>1280000</v>
      </c>
    </row>
    <row r="7" spans="1:2" x14ac:dyDescent="0.2">
      <c r="A7" s="7" t="s">
        <v>26</v>
      </c>
      <c r="B7" s="9">
        <f>SUMIFS(Trial_Balance!$D:$D, Trial_Balance!$A:$A, A7)</f>
        <v>2200000</v>
      </c>
    </row>
    <row r="8" spans="1:2" x14ac:dyDescent="0.2">
      <c r="A8" s="1" t="s">
        <v>45</v>
      </c>
      <c r="B8" s="9">
        <f>SUM(B6:B7)</f>
        <v>3480000</v>
      </c>
    </row>
    <row r="10" spans="1:2" x14ac:dyDescent="0.2">
      <c r="A10" s="1" t="s">
        <v>46</v>
      </c>
    </row>
    <row r="11" spans="1:2" x14ac:dyDescent="0.2">
      <c r="A11" s="7" t="s">
        <v>21</v>
      </c>
      <c r="B11" s="9">
        <f>-SUMIFS(Trial_Balance!$D:$D, Trial_Balance!$A:$A, A11)</f>
        <v>1650000</v>
      </c>
    </row>
    <row r="12" spans="1:2" x14ac:dyDescent="0.2">
      <c r="A12" s="7" t="s">
        <v>23</v>
      </c>
      <c r="B12" s="9">
        <f>-SUMIFS(Trial_Balance!$D:$D, Trial_Balance!$A:$A, A12)</f>
        <v>120000</v>
      </c>
    </row>
    <row r="13" spans="1:2" x14ac:dyDescent="0.2">
      <c r="A13" s="1" t="s">
        <v>47</v>
      </c>
      <c r="B13" s="9">
        <f>SUM(B11:B12)</f>
        <v>1770000</v>
      </c>
    </row>
    <row r="15" spans="1:2" x14ac:dyDescent="0.2">
      <c r="A15" s="1" t="s">
        <v>48</v>
      </c>
    </row>
    <row r="16" spans="1:2" x14ac:dyDescent="0.2">
      <c r="A16" t="s">
        <v>49</v>
      </c>
      <c r="B16" s="9">
        <f>-Income_Statement!B18</f>
        <v>1710000</v>
      </c>
    </row>
    <row r="17" spans="1:2" x14ac:dyDescent="0.2">
      <c r="A17" s="1" t="s">
        <v>50</v>
      </c>
      <c r="B17" s="9">
        <f>B13+B16</f>
        <v>3480000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5A95-0BF1-9E41-8767-CE0743C0423C}">
  <dimension ref="A1:D8"/>
  <sheetViews>
    <sheetView showGridLines="0" tabSelected="1" zoomScale="150" zoomScaleNormal="150" workbookViewId="0">
      <selection activeCell="T24" sqref="T24"/>
    </sheetView>
  </sheetViews>
  <sheetFormatPr baseColWidth="10" defaultRowHeight="16" x14ac:dyDescent="0.2"/>
  <cols>
    <col min="1" max="1" width="23.33203125" bestFit="1" customWidth="1"/>
    <col min="2" max="2" width="29.33203125" bestFit="1" customWidth="1"/>
    <col min="3" max="3" width="10.83203125" style="17"/>
  </cols>
  <sheetData>
    <row r="1" spans="1:4" ht="24" customHeight="1" x14ac:dyDescent="0.3">
      <c r="A1" s="12" t="s">
        <v>51</v>
      </c>
    </row>
    <row r="3" spans="1:4" x14ac:dyDescent="0.2">
      <c r="A3" s="14" t="s">
        <v>52</v>
      </c>
      <c r="B3" s="14" t="s">
        <v>53</v>
      </c>
      <c r="C3" s="18" t="s">
        <v>54</v>
      </c>
      <c r="D3" s="14" t="s">
        <v>69</v>
      </c>
    </row>
    <row r="4" spans="1:4" x14ac:dyDescent="0.2">
      <c r="A4" t="s">
        <v>63</v>
      </c>
      <c r="B4" t="s">
        <v>55</v>
      </c>
      <c r="C4" s="17">
        <f>(ABS(Income_Statement!B7)-Income_Statement!B10)/ABS(Income_Statement!B7)</f>
        <v>0.73809523809523814</v>
      </c>
      <c r="D4" t="s">
        <v>56</v>
      </c>
    </row>
    <row r="5" spans="1:4" x14ac:dyDescent="0.2">
      <c r="A5" t="s">
        <v>64</v>
      </c>
      <c r="B5" t="s">
        <v>57</v>
      </c>
      <c r="C5" s="17">
        <f>ABS(Income_Statement!B18)/ABS(Income_Statement!B7)</f>
        <v>0.40714285714285714</v>
      </c>
    </row>
    <row r="6" spans="1:4" x14ac:dyDescent="0.2">
      <c r="A6" t="s">
        <v>58</v>
      </c>
      <c r="B6" t="s">
        <v>59</v>
      </c>
      <c r="C6" s="19">
        <f>Balance_Sheet!B8/Balance_Sheet!B13</f>
        <v>1.9661016949152543</v>
      </c>
    </row>
    <row r="7" spans="1:4" x14ac:dyDescent="0.2">
      <c r="A7" t="s">
        <v>65</v>
      </c>
      <c r="B7" t="s">
        <v>60</v>
      </c>
      <c r="C7" s="17">
        <f>Income_Statement!B14/ABS(Income_Statement!B7)</f>
        <v>0.1</v>
      </c>
    </row>
    <row r="8" spans="1:4" x14ac:dyDescent="0.2">
      <c r="A8" t="s">
        <v>66</v>
      </c>
      <c r="B8" t="s">
        <v>61</v>
      </c>
      <c r="C8" s="17">
        <f>(Income_Statement!B10+Income_Statement!B11)/ABS(Income_Statement!B7)</f>
        <v>0.31428571428571428</v>
      </c>
      <c r="D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GL_Raw</vt:lpstr>
      <vt:lpstr>Trial_Balance</vt:lpstr>
      <vt:lpstr>Income_Statement</vt:lpstr>
      <vt:lpstr>Balance_Sheet</vt:lpstr>
      <vt:lpstr>Ratios_Analysis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Gurisha Kaur</dc:creator>
  <cp:lastModifiedBy>Gurisha Kaur</cp:lastModifiedBy>
  <dcterms:created xsi:type="dcterms:W3CDTF">2026-01-14T20:52:32Z</dcterms:created>
  <dcterms:modified xsi:type="dcterms:W3CDTF">2026-02-09T01:00:25Z</dcterms:modified>
</cp:coreProperties>
</file>