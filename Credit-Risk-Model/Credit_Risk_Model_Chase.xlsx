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ishakaur/Desktop/Portfolio/Credit Risk Scoring Model - Consumer Lending Portfolio/01_Final Deliverables/"/>
    </mc:Choice>
  </mc:AlternateContent>
  <xr:revisionPtr revIDLastSave="0" documentId="13_ncr:1_{61F6654A-EAEF-9041-AC8D-98A375F914C0}" xr6:coauthVersionLast="47" xr6:coauthVersionMax="47" xr10:uidLastSave="{00000000-0000-0000-0000-000000000000}"/>
  <bookViews>
    <workbookView xWindow="0" yWindow="660" windowWidth="34560" windowHeight="21680" activeTab="1" xr2:uid="{8CCBE8F0-A77F-C845-8553-5A894FD160AD}"/>
  </bookViews>
  <sheets>
    <sheet name="Loan_Applications_Raw" sheetId="1" r:id="rId1"/>
    <sheet name="Cleaned_Data" sheetId="2" r:id="rId2"/>
    <sheet name="Risk_Model" sheetId="3" r:id="rId3"/>
    <sheet name="Risk_Model_Automat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2" l="1"/>
  <c r="AA18" i="2"/>
  <c r="AB18" i="2" s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" i="2"/>
  <c r="T13" i="2"/>
  <c r="T3" i="2"/>
  <c r="T4" i="2"/>
  <c r="T5" i="2"/>
  <c r="T6" i="2"/>
  <c r="T7" i="2"/>
  <c r="T8" i="2"/>
  <c r="T9" i="2"/>
  <c r="T10" i="2"/>
  <c r="T11" i="2"/>
  <c r="T12" i="2"/>
  <c r="T14" i="2"/>
  <c r="T15" i="2"/>
  <c r="T16" i="2"/>
  <c r="T17" i="2"/>
  <c r="T18" i="2"/>
  <c r="T19" i="2"/>
  <c r="T20" i="2"/>
  <c r="T21" i="2"/>
  <c r="T2" i="2"/>
  <c r="B10" i="4" a="1"/>
  <c r="B10" i="4" s="1"/>
  <c r="C10" i="4" s="1"/>
  <c r="E10" i="4" s="1"/>
  <c r="B9" i="4" a="1"/>
  <c r="B9" i="4" s="1"/>
  <c r="C9" i="4" s="1"/>
  <c r="E9" i="4" s="1"/>
  <c r="B8" i="4" a="1"/>
  <c r="B8" i="4" s="1"/>
  <c r="C8" i="4" s="1"/>
  <c r="E8" i="4" s="1"/>
  <c r="B6" i="4" a="1"/>
  <c r="B6" i="4" s="1"/>
  <c r="C6" i="4" s="1"/>
  <c r="E6" i="4" s="1"/>
  <c r="E6" i="3"/>
  <c r="E7" i="3"/>
  <c r="E8" i="3"/>
  <c r="E9" i="3"/>
  <c r="E5" i="3"/>
  <c r="B9" i="3"/>
  <c r="B8" i="3"/>
  <c r="B7" i="3"/>
  <c r="B5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" i="2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17" i="2"/>
  <c r="Q17" i="2" s="1"/>
  <c r="P18" i="2"/>
  <c r="Q18" i="2" s="1"/>
  <c r="U18" i="2" s="1"/>
  <c r="P19" i="2"/>
  <c r="Q19" i="2" s="1"/>
  <c r="P20" i="2"/>
  <c r="Q20" i="2" s="1"/>
  <c r="P21" i="2"/>
  <c r="Q21" i="2" s="1"/>
  <c r="P2" i="2"/>
  <c r="Q2" i="2" s="1"/>
  <c r="E11" i="3" l="1"/>
  <c r="Y18" i="2"/>
  <c r="Z18" i="2" s="1"/>
  <c r="U17" i="2"/>
  <c r="Y17" i="2" s="1"/>
  <c r="Z17" i="2" s="1"/>
  <c r="S17" i="2"/>
  <c r="AA17" i="2" s="1"/>
  <c r="S16" i="2"/>
  <c r="AA16" i="2" s="1"/>
  <c r="U16" i="2"/>
  <c r="Y16" i="2" s="1"/>
  <c r="Z16" i="2" s="1"/>
  <c r="S15" i="2"/>
  <c r="AA15" i="2" s="1"/>
  <c r="U15" i="2"/>
  <c r="Y15" i="2" s="1"/>
  <c r="Z15" i="2" s="1"/>
  <c r="U4" i="2"/>
  <c r="Y4" i="2" s="1"/>
  <c r="Z4" i="2" s="1"/>
  <c r="S4" i="2"/>
  <c r="AA4" i="2" s="1"/>
  <c r="S3" i="2"/>
  <c r="AA3" i="2" s="1"/>
  <c r="U3" i="2"/>
  <c r="Y3" i="2" s="1"/>
  <c r="Z3" i="2" s="1"/>
  <c r="S13" i="2"/>
  <c r="AA13" i="2" s="1"/>
  <c r="U13" i="2"/>
  <c r="Y13" i="2" s="1"/>
  <c r="Z13" i="2" s="1"/>
  <c r="S12" i="2"/>
  <c r="AA12" i="2" s="1"/>
  <c r="U12" i="2"/>
  <c r="Y12" i="2" s="1"/>
  <c r="Z12" i="2" s="1"/>
  <c r="U21" i="2"/>
  <c r="Y21" i="2" s="1"/>
  <c r="Z21" i="2" s="1"/>
  <c r="S21" i="2"/>
  <c r="AA21" i="2" s="1"/>
  <c r="U11" i="2"/>
  <c r="Y11" i="2" s="1"/>
  <c r="Z11" i="2" s="1"/>
  <c r="S11" i="2"/>
  <c r="AA11" i="2" s="1"/>
  <c r="U20" i="2"/>
  <c r="Y20" i="2" s="1"/>
  <c r="Z20" i="2" s="1"/>
  <c r="S20" i="2"/>
  <c r="AA20" i="2" s="1"/>
  <c r="U10" i="2"/>
  <c r="Y10" i="2" s="1"/>
  <c r="Z10" i="2" s="1"/>
  <c r="S10" i="2"/>
  <c r="AA10" i="2" s="1"/>
  <c r="U19" i="2"/>
  <c r="Y19" i="2" s="1"/>
  <c r="Z19" i="2" s="1"/>
  <c r="S19" i="2"/>
  <c r="AA19" i="2" s="1"/>
  <c r="S9" i="2"/>
  <c r="AA9" i="2" s="1"/>
  <c r="U9" i="2"/>
  <c r="Y9" i="2" s="1"/>
  <c r="Z9" i="2" s="1"/>
  <c r="U7" i="2"/>
  <c r="Y7" i="2" s="1"/>
  <c r="Z7" i="2" s="1"/>
  <c r="S7" i="2"/>
  <c r="AA7" i="2" s="1"/>
  <c r="U6" i="2"/>
  <c r="Y6" i="2" s="1"/>
  <c r="Z6" i="2" s="1"/>
  <c r="S6" i="2"/>
  <c r="AA6" i="2" s="1"/>
  <c r="S5" i="2"/>
  <c r="AA5" i="2" s="1"/>
  <c r="AB5" i="2" s="1"/>
  <c r="U5" i="2"/>
  <c r="Y5" i="2" s="1"/>
  <c r="Z5" i="2" s="1"/>
  <c r="U14" i="2"/>
  <c r="Y14" i="2" s="1"/>
  <c r="Z14" i="2" s="1"/>
  <c r="AA14" i="2"/>
  <c r="AB14" i="2" s="1"/>
  <c r="S14" i="2"/>
  <c r="S2" i="2"/>
  <c r="AA2" i="2" s="1"/>
  <c r="B6" i="3"/>
  <c r="B7" i="4" a="1"/>
  <c r="B7" i="4" s="1"/>
  <c r="C7" i="4" s="1"/>
  <c r="E7" i="4" s="1"/>
  <c r="E12" i="4" s="1"/>
  <c r="S8" i="2"/>
  <c r="AA8" i="2" s="1"/>
  <c r="AB8" i="2" s="1"/>
  <c r="U2" i="2"/>
  <c r="Y2" i="2" s="1"/>
  <c r="S18" i="2"/>
  <c r="U8" i="2"/>
  <c r="Y8" i="2" s="1"/>
  <c r="Z8" i="2" s="1"/>
  <c r="AB7" i="2" l="1"/>
  <c r="Z2" i="2"/>
  <c r="AE9" i="2" s="1"/>
  <c r="AE8" i="2"/>
  <c r="AB11" i="2"/>
  <c r="AB19" i="2"/>
  <c r="AB21" i="2"/>
  <c r="AB20" i="2"/>
  <c r="AB10" i="2"/>
  <c r="AB16" i="2"/>
  <c r="AB17" i="2"/>
  <c r="AB4" i="2"/>
  <c r="AB13" i="2"/>
  <c r="AB15" i="2"/>
  <c r="AB3" i="2"/>
  <c r="AB12" i="2"/>
  <c r="AB9" i="2"/>
  <c r="AB6" i="2"/>
  <c r="E14" i="4"/>
  <c r="AB2" i="2" l="1"/>
  <c r="AE4" i="2"/>
  <c r="AE7" i="2" s="1"/>
  <c r="AE6" i="2"/>
  <c r="AE5" i="2"/>
  <c r="E1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<sst xmlns="http://schemas.openxmlformats.org/spreadsheetml/2006/main" count="307" uniqueCount="118">
  <si>
    <t>Application_ID</t>
  </si>
  <si>
    <t>Applicant_Age</t>
  </si>
  <si>
    <t>Annual_Income</t>
  </si>
  <si>
    <t>Employment_Status</t>
  </si>
  <si>
    <t>Employment_Length_Yrs</t>
  </si>
  <si>
    <t>Credit_Score</t>
  </si>
  <si>
    <t>Existing_Debt</t>
  </si>
  <si>
    <t>Monthly_Debt_Payment</t>
  </si>
  <si>
    <t>Loan_Amount</t>
  </si>
  <si>
    <t>Loan_Term_Months</t>
  </si>
  <si>
    <t>Loan_Purpose</t>
  </si>
  <si>
    <t>Past_Defaults</t>
  </si>
  <si>
    <t>Delinquencies_12M</t>
  </si>
  <si>
    <t>Bankruptcy_Flag</t>
  </si>
  <si>
    <t>APP-001</t>
  </si>
  <si>
    <t>APP-002</t>
  </si>
  <si>
    <t>APP-003</t>
  </si>
  <si>
    <t>APP-004</t>
  </si>
  <si>
    <t>APP-005</t>
  </si>
  <si>
    <t>APP-006</t>
  </si>
  <si>
    <t>APP-007</t>
  </si>
  <si>
    <t>APP-008</t>
  </si>
  <si>
    <t>APP-009</t>
  </si>
  <si>
    <t>APP-010</t>
  </si>
  <si>
    <t>APP-011</t>
  </si>
  <si>
    <t>APP-012</t>
  </si>
  <si>
    <t>APP-013</t>
  </si>
  <si>
    <t>APP-014</t>
  </si>
  <si>
    <t>APP-015</t>
  </si>
  <si>
    <t>APP-016</t>
  </si>
  <si>
    <t>APP-017</t>
  </si>
  <si>
    <t>APP-018</t>
  </si>
  <si>
    <t>APP-019</t>
  </si>
  <si>
    <t>APP-020</t>
  </si>
  <si>
    <t>Salaried</t>
  </si>
  <si>
    <t>Self-Employed</t>
  </si>
  <si>
    <t>Contract</t>
  </si>
  <si>
    <t>Auto</t>
  </si>
  <si>
    <t>Personal</t>
  </si>
  <si>
    <t>Consolidation</t>
  </si>
  <si>
    <t>No</t>
  </si>
  <si>
    <t>Yes</t>
  </si>
  <si>
    <t>Monthly_Income</t>
  </si>
  <si>
    <t>Debt_to_Income</t>
  </si>
  <si>
    <t>Loan_to_Income</t>
  </si>
  <si>
    <t>Credit_Score_Band</t>
  </si>
  <si>
    <t>Risk_Flags_Count</t>
  </si>
  <si>
    <t>Prime ≥ 750</t>
  </si>
  <si>
    <t>Near-Prime 700–749</t>
  </si>
  <si>
    <t>Subprime &lt; 700</t>
  </si>
  <si>
    <t>Factor</t>
  </si>
  <si>
    <t>Metric</t>
  </si>
  <si>
    <t>Score</t>
  </si>
  <si>
    <t>Weight</t>
  </si>
  <si>
    <t>Weighted_Score</t>
  </si>
  <si>
    <t>Credit Score</t>
  </si>
  <si>
    <t>Debt-to-Income</t>
  </si>
  <si>
    <t>Employment Stability</t>
  </si>
  <si>
    <t>Past Defaults</t>
  </si>
  <si>
    <t>Delinquencies</t>
  </si>
  <si>
    <t>Credit Score Band</t>
  </si>
  <si>
    <t>≥750</t>
  </si>
  <si>
    <t>700–749</t>
  </si>
  <si>
    <t>650–699</t>
  </si>
  <si>
    <t>600–649</t>
  </si>
  <si>
    <t>&lt;600</t>
  </si>
  <si>
    <t>DTI Range</t>
  </si>
  <si>
    <t>≤20%</t>
  </si>
  <si>
    <t>21–35%</t>
  </si>
  <si>
    <t>36–50%</t>
  </si>
  <si>
    <t>&gt;50%</t>
  </si>
  <si>
    <t>Employment Years</t>
  </si>
  <si>
    <t>≥10</t>
  </si>
  <si>
    <t>5–9</t>
  </si>
  <si>
    <t>2–4</t>
  </si>
  <si>
    <t>&lt;2</t>
  </si>
  <si>
    <t>≥2</t>
  </si>
  <si>
    <t>Delinquencies (12M)</t>
  </si>
  <si>
    <t>≥3</t>
  </si>
  <si>
    <t>1–2</t>
  </si>
  <si>
    <t>Total Risk Score</t>
  </si>
  <si>
    <t>Risk Tier</t>
  </si>
  <si>
    <t>Lending Decision</t>
  </si>
  <si>
    <t>Risk_Score</t>
  </si>
  <si>
    <t>Risk_Tier</t>
  </si>
  <si>
    <t>Lending_Decision</t>
  </si>
  <si>
    <t>Active_Data_Row</t>
  </si>
  <si>
    <t>Score_Credit</t>
  </si>
  <si>
    <t>Score_DTI</t>
  </si>
  <si>
    <t>Score_Employment</t>
  </si>
  <si>
    <t>Score_Delinquencies</t>
  </si>
  <si>
    <t>Policy_Override</t>
  </si>
  <si>
    <t>Score_Past_Defaults</t>
  </si>
  <si>
    <t>Portfolio Risk Summary</t>
  </si>
  <si>
    <t>Total Applications</t>
  </si>
  <si>
    <t>Approved</t>
  </si>
  <si>
    <t>Manual Review</t>
  </si>
  <si>
    <t>Declined</t>
  </si>
  <si>
    <t>Approval Rate</t>
  </si>
  <si>
    <t>Avg Risk Score</t>
  </si>
  <si>
    <t>% High / Very High Risk</t>
  </si>
  <si>
    <t>Model Assumptions &amp; Risk Flags</t>
  </si>
  <si>
    <t>Model Scope &amp; Use</t>
  </si>
  <si>
    <t>This model is designed for initial credit risk screening and decision support. Final lending decisions may require manual review and additional underwriting checks.</t>
  </si>
  <si>
    <t>Key Assumptions</t>
  </si>
  <si>
    <t>Model Limitations</t>
  </si>
  <si>
    <t>The model does not account for collateral value, interest rate, or macroeconomic conditions.</t>
  </si>
  <si>
    <t>Credit Score Bands:</t>
  </si>
  <si>
    <t>Risk Flags Considered:</t>
  </si>
  <si>
    <t>(i) Income and debt values are assumed to be verified and accurate</t>
  </si>
  <si>
    <t>(ii) Credit score reflects most recent bureau pull</t>
  </si>
  <si>
    <t>(ii) Model weights reflect relative risk importance, not probability of default</t>
  </si>
  <si>
    <t>(i) Past defaults</t>
  </si>
  <si>
    <t>(ii) Delinquencies ≥ 3</t>
  </si>
  <si>
    <t>(iii) Bankruptcy</t>
  </si>
  <si>
    <t>(iv) DTI &gt; 40%</t>
  </si>
  <si>
    <t>This sheet illustrates the credit risk scoring logic for a single applicant and is used for model explanation and validation. Final calculations have been done in the Cleaned_Data sheet.</t>
  </si>
  <si>
    <t xml:space="preserve">This sheet demonstrates automated model logic using a single-row input structure. Final calculations have been done in the Cleaned_Data sheet. A13 can be tested with any row number taken from the Cleaned_Data sheet.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</si>
</sst>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i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B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38" fontId="2" fillId="2" borderId="1" xfId="0" applyNumberFormat="1" applyFont="1" applyFill="1" applyBorder="1" applyAlignment="1">
      <alignment horizontal="center"/>
    </xf>
    <xf numFmtId="38" fontId="0" fillId="0" borderId="0" xfId="0" applyNumberFormat="1"/>
    <xf numFmtId="0" fontId="0" fillId="0" borderId="1" xfId="0" applyBorder="1"/>
    <xf numFmtId="38" fontId="0" fillId="0" borderId="1" xfId="0" applyNumberFormat="1" applyBorder="1"/>
    <xf numFmtId="4" fontId="0" fillId="0" borderId="1" xfId="0" applyNumberFormat="1" applyBorder="1"/>
    <xf numFmtId="10" fontId="0" fillId="0" borderId="1" xfId="0" applyNumberFormat="1" applyBorder="1"/>
    <xf numFmtId="9" fontId="0" fillId="0" borderId="0" xfId="0" applyNumberFormat="1"/>
    <xf numFmtId="0" fontId="4" fillId="0" borderId="0" xfId="0" applyFont="1"/>
    <xf numFmtId="9" fontId="4" fillId="0" borderId="0" xfId="0" applyNumberFormat="1" applyFont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9" fontId="0" fillId="0" borderId="1" xfId="0" applyNumberFormat="1" applyBorder="1"/>
    <xf numFmtId="0" fontId="5" fillId="2" borderId="1" xfId="0" applyFont="1" applyFill="1" applyBorder="1" applyAlignment="1">
      <alignment horizontal="left"/>
    </xf>
    <xf numFmtId="0" fontId="6" fillId="0" borderId="0" xfId="0" applyFont="1"/>
    <xf numFmtId="0" fontId="2" fillId="7" borderId="0" xfId="0" applyFont="1" applyFill="1"/>
    <xf numFmtId="0" fontId="4" fillId="7" borderId="0" xfId="0" applyFont="1" applyFill="1"/>
    <xf numFmtId="9" fontId="2" fillId="2" borderId="1" xfId="0" applyNumberFormat="1" applyFont="1" applyFill="1" applyBorder="1" applyAlignment="1">
      <alignment horizontal="center"/>
    </xf>
    <xf numFmtId="0" fontId="4" fillId="0" borderId="1" xfId="0" applyFont="1" applyBorder="1"/>
    <xf numFmtId="9" fontId="4" fillId="0" borderId="1" xfId="0" applyNumberFormat="1" applyFont="1" applyBorder="1"/>
    <xf numFmtId="10" fontId="4" fillId="0" borderId="1" xfId="0" applyNumberFormat="1" applyFont="1" applyBorder="1"/>
    <xf numFmtId="0" fontId="0" fillId="0" borderId="1" xfId="0" applyBorder="1" applyAlignment="1">
      <alignment horizontal="left"/>
    </xf>
    <xf numFmtId="16" fontId="0" fillId="0" borderId="1" xfId="0" applyNumberFormat="1" applyBorder="1"/>
    <xf numFmtId="0" fontId="4" fillId="0" borderId="2" xfId="0" applyFont="1" applyBorder="1"/>
    <xf numFmtId="9" fontId="4" fillId="0" borderId="2" xfId="0" applyNumberFormat="1" applyFont="1" applyBorder="1"/>
    <xf numFmtId="0" fontId="4" fillId="0" borderId="3" xfId="0" applyFont="1" applyBorder="1"/>
    <xf numFmtId="9" fontId="4" fillId="0" borderId="3" xfId="0" applyNumberFormat="1" applyFont="1" applyBorder="1"/>
    <xf numFmtId="0" fontId="2" fillId="0" borderId="3" xfId="0" applyFont="1" applyBorder="1"/>
    <xf numFmtId="9" fontId="2" fillId="0" borderId="1" xfId="0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0" borderId="0" xfId="0"/>
    <xf numFmtId="0" fontId="0" fillId="0" borderId="0" xfId="0" applyAlignment="1">
      <alignment horizontal="left" vertical="top" wrapText="1"/>
    </xf>
    <xf numFmtId="0" fontId="2" fillId="2" borderId="0" xfId="0" applyFont="1" applyFill="1"/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1"/>
      <color rgb="FFFFF00B"/>
      <color rgb="FFFFF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0B11-94C1-B54E-911B-6B860790BC86}">
  <dimension ref="A1:O21"/>
  <sheetViews>
    <sheetView showGridLines="0" zoomScale="140" zoomScaleNormal="140" workbookViewId="0">
      <pane ySplit="1" topLeftCell="A2" activePane="bottomLeft" state="frozen"/>
      <selection pane="bottomLeft" activeCell="C17" sqref="C17"/>
    </sheetView>
  </sheetViews>
  <sheetFormatPr baseColWidth="10" defaultRowHeight="16" x14ac:dyDescent="0.2"/>
  <cols>
    <col min="1" max="1" width="13.1640625" bestFit="1" customWidth="1"/>
    <col min="2" max="2" width="13" bestFit="1" customWidth="1"/>
    <col min="3" max="3" width="13.83203125" style="5" bestFit="1" customWidth="1"/>
    <col min="4" max="4" width="17.83203125" bestFit="1" customWidth="1"/>
    <col min="5" max="5" width="21.83203125" bestFit="1" customWidth="1"/>
    <col min="6" max="6" width="11.83203125" bestFit="1" customWidth="1"/>
    <col min="7" max="7" width="12.5" style="5" bestFit="1" customWidth="1"/>
    <col min="8" max="8" width="20.83203125" style="5" bestFit="1" customWidth="1"/>
    <col min="9" max="9" width="12.5" style="5" bestFit="1" customWidth="1"/>
    <col min="10" max="10" width="17.33203125" bestFit="1" customWidth="1"/>
    <col min="11" max="11" width="12.83203125" bestFit="1" customWidth="1"/>
    <col min="12" max="12" width="13" bestFit="1" customWidth="1"/>
    <col min="13" max="13" width="17.5" bestFit="1" customWidth="1"/>
    <col min="14" max="14" width="14.83203125" bestFit="1" customWidth="1"/>
  </cols>
  <sheetData>
    <row r="1" spans="1:15" x14ac:dyDescent="0.2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 x14ac:dyDescent="0.2">
      <c r="A2" s="6" t="s">
        <v>14</v>
      </c>
      <c r="B2" s="6">
        <v>28</v>
      </c>
      <c r="C2" s="7">
        <v>52000</v>
      </c>
      <c r="D2" s="6" t="s">
        <v>34</v>
      </c>
      <c r="E2" s="6">
        <v>3</v>
      </c>
      <c r="F2" s="6">
        <v>720</v>
      </c>
      <c r="G2" s="7">
        <v>18000</v>
      </c>
      <c r="H2" s="7">
        <v>450</v>
      </c>
      <c r="I2" s="7">
        <v>15000</v>
      </c>
      <c r="J2" s="6">
        <v>36</v>
      </c>
      <c r="K2" s="6" t="s">
        <v>37</v>
      </c>
      <c r="L2" s="6">
        <v>0</v>
      </c>
      <c r="M2" s="6">
        <v>1</v>
      </c>
      <c r="N2" s="6" t="s">
        <v>40</v>
      </c>
      <c r="O2" s="3"/>
    </row>
    <row r="3" spans="1:15" x14ac:dyDescent="0.2">
      <c r="A3" s="6" t="s">
        <v>15</v>
      </c>
      <c r="B3" s="6">
        <v>34</v>
      </c>
      <c r="C3" s="7">
        <v>68000</v>
      </c>
      <c r="D3" s="6" t="s">
        <v>34</v>
      </c>
      <c r="E3" s="6">
        <v>6</v>
      </c>
      <c r="F3" s="6">
        <v>680</v>
      </c>
      <c r="G3" s="7">
        <v>25000</v>
      </c>
      <c r="H3" s="7">
        <v>620</v>
      </c>
      <c r="I3" s="7">
        <v>20000</v>
      </c>
      <c r="J3" s="6">
        <v>60</v>
      </c>
      <c r="K3" s="6" t="s">
        <v>38</v>
      </c>
      <c r="L3" s="6">
        <v>0</v>
      </c>
      <c r="M3" s="6">
        <v>2</v>
      </c>
      <c r="N3" s="6" t="s">
        <v>40</v>
      </c>
    </row>
    <row r="4" spans="1:15" x14ac:dyDescent="0.2">
      <c r="A4" s="6" t="s">
        <v>16</v>
      </c>
      <c r="B4" s="6">
        <v>45</v>
      </c>
      <c r="C4" s="7">
        <v>95000</v>
      </c>
      <c r="D4" s="6" t="s">
        <v>34</v>
      </c>
      <c r="E4" s="6">
        <v>15</v>
      </c>
      <c r="F4" s="6">
        <v>760</v>
      </c>
      <c r="G4" s="7">
        <v>30000</v>
      </c>
      <c r="H4" s="7">
        <v>700</v>
      </c>
      <c r="I4" s="7">
        <v>25000</v>
      </c>
      <c r="J4" s="6">
        <v>36</v>
      </c>
      <c r="K4" s="6" t="s">
        <v>39</v>
      </c>
      <c r="L4" s="6">
        <v>0</v>
      </c>
      <c r="M4" s="6">
        <v>0</v>
      </c>
      <c r="N4" s="6" t="s">
        <v>40</v>
      </c>
    </row>
    <row r="5" spans="1:15" x14ac:dyDescent="0.2">
      <c r="A5" s="6" t="s">
        <v>17</v>
      </c>
      <c r="B5" s="6">
        <v>52</v>
      </c>
      <c r="C5" s="7">
        <v>120000</v>
      </c>
      <c r="D5" s="6" t="s">
        <v>35</v>
      </c>
      <c r="E5" s="6">
        <v>20</v>
      </c>
      <c r="F5" s="6">
        <v>810</v>
      </c>
      <c r="G5" s="7">
        <v>20000</v>
      </c>
      <c r="H5" s="7">
        <v>520</v>
      </c>
      <c r="I5" s="7">
        <v>30000</v>
      </c>
      <c r="J5" s="6">
        <v>60</v>
      </c>
      <c r="K5" s="6" t="s">
        <v>37</v>
      </c>
      <c r="L5" s="6">
        <v>1</v>
      </c>
      <c r="M5" s="6">
        <v>3</v>
      </c>
      <c r="N5" s="6" t="s">
        <v>40</v>
      </c>
    </row>
    <row r="6" spans="1:15" x14ac:dyDescent="0.2">
      <c r="A6" s="6" t="s">
        <v>18</v>
      </c>
      <c r="B6" s="6">
        <v>31</v>
      </c>
      <c r="C6" s="7">
        <v>60000</v>
      </c>
      <c r="D6" s="6" t="s">
        <v>34</v>
      </c>
      <c r="E6" s="6">
        <v>5</v>
      </c>
      <c r="F6" s="6">
        <v>650</v>
      </c>
      <c r="G6" s="7">
        <v>22000</v>
      </c>
      <c r="H6" s="7">
        <v>580</v>
      </c>
      <c r="I6" s="7">
        <v>18000</v>
      </c>
      <c r="J6" s="6">
        <v>36</v>
      </c>
      <c r="K6" s="6" t="s">
        <v>38</v>
      </c>
      <c r="L6" s="6">
        <v>0</v>
      </c>
      <c r="M6" s="6">
        <v>1</v>
      </c>
      <c r="N6" s="6" t="s">
        <v>40</v>
      </c>
    </row>
    <row r="7" spans="1:15" x14ac:dyDescent="0.2">
      <c r="A7" s="6" t="s">
        <v>19</v>
      </c>
      <c r="B7" s="6">
        <v>40</v>
      </c>
      <c r="C7" s="7">
        <v>85000</v>
      </c>
      <c r="D7" s="6" t="s">
        <v>34</v>
      </c>
      <c r="E7" s="6">
        <v>10</v>
      </c>
      <c r="F7" s="6">
        <v>700</v>
      </c>
      <c r="G7" s="7">
        <v>28000</v>
      </c>
      <c r="H7" s="7">
        <v>650</v>
      </c>
      <c r="I7" s="7">
        <v>22000</v>
      </c>
      <c r="J7" s="6">
        <v>60</v>
      </c>
      <c r="K7" s="6" t="s">
        <v>39</v>
      </c>
      <c r="L7" s="6">
        <v>0</v>
      </c>
      <c r="M7" s="6">
        <v>2</v>
      </c>
      <c r="N7" s="6" t="s">
        <v>40</v>
      </c>
    </row>
    <row r="8" spans="1:15" x14ac:dyDescent="0.2">
      <c r="A8" s="6" t="s">
        <v>20</v>
      </c>
      <c r="B8" s="6">
        <v>27</v>
      </c>
      <c r="C8" s="7">
        <v>48000</v>
      </c>
      <c r="D8" s="6" t="s">
        <v>36</v>
      </c>
      <c r="E8" s="6">
        <v>2</v>
      </c>
      <c r="F8" s="6">
        <v>610</v>
      </c>
      <c r="G8" s="7">
        <v>15000</v>
      </c>
      <c r="H8" s="7">
        <v>400</v>
      </c>
      <c r="I8" s="7">
        <v>12000</v>
      </c>
      <c r="J8" s="6">
        <v>36</v>
      </c>
      <c r="K8" s="6" t="s">
        <v>38</v>
      </c>
      <c r="L8" s="6">
        <v>1</v>
      </c>
      <c r="M8" s="6">
        <v>4</v>
      </c>
      <c r="N8" s="6" t="s">
        <v>40</v>
      </c>
    </row>
    <row r="9" spans="1:15" x14ac:dyDescent="0.2">
      <c r="A9" s="6" t="s">
        <v>21</v>
      </c>
      <c r="B9" s="6">
        <v>36</v>
      </c>
      <c r="C9" s="7">
        <v>72000</v>
      </c>
      <c r="D9" s="6" t="s">
        <v>34</v>
      </c>
      <c r="E9" s="6">
        <v>7</v>
      </c>
      <c r="F9" s="6">
        <v>690</v>
      </c>
      <c r="G9" s="7">
        <v>26000</v>
      </c>
      <c r="H9" s="7">
        <v>610</v>
      </c>
      <c r="I9" s="7">
        <v>20000</v>
      </c>
      <c r="J9" s="6">
        <v>60</v>
      </c>
      <c r="K9" s="6" t="s">
        <v>37</v>
      </c>
      <c r="L9" s="6">
        <v>0</v>
      </c>
      <c r="M9" s="6">
        <v>1</v>
      </c>
      <c r="N9" s="6" t="s">
        <v>40</v>
      </c>
    </row>
    <row r="10" spans="1:15" x14ac:dyDescent="0.2">
      <c r="A10" s="6" t="s">
        <v>22</v>
      </c>
      <c r="B10" s="6">
        <v>60</v>
      </c>
      <c r="C10" s="7">
        <v>140000</v>
      </c>
      <c r="D10" s="6" t="s">
        <v>34</v>
      </c>
      <c r="E10" s="6">
        <v>25</v>
      </c>
      <c r="F10" s="6">
        <v>790</v>
      </c>
      <c r="G10" s="7">
        <v>35000</v>
      </c>
      <c r="H10" s="7">
        <v>800</v>
      </c>
      <c r="I10" s="7">
        <v>35000</v>
      </c>
      <c r="J10" s="6">
        <v>60</v>
      </c>
      <c r="K10" s="6" t="s">
        <v>39</v>
      </c>
      <c r="L10" s="6">
        <v>0</v>
      </c>
      <c r="M10" s="6">
        <v>0</v>
      </c>
      <c r="N10" s="6" t="s">
        <v>40</v>
      </c>
    </row>
    <row r="11" spans="1:15" x14ac:dyDescent="0.2">
      <c r="A11" s="6" t="s">
        <v>23</v>
      </c>
      <c r="B11" s="6">
        <v>49</v>
      </c>
      <c r="C11" s="7">
        <v>98000</v>
      </c>
      <c r="D11" s="6" t="s">
        <v>35</v>
      </c>
      <c r="E11" s="6">
        <v>18</v>
      </c>
      <c r="F11" s="6">
        <v>670</v>
      </c>
      <c r="G11" s="7">
        <v>24000</v>
      </c>
      <c r="H11" s="7">
        <v>590</v>
      </c>
      <c r="I11" s="7">
        <v>24000</v>
      </c>
      <c r="J11" s="6">
        <v>36</v>
      </c>
      <c r="K11" s="6" t="s">
        <v>38</v>
      </c>
      <c r="L11" s="6">
        <v>1</v>
      </c>
      <c r="M11" s="6">
        <v>2</v>
      </c>
      <c r="N11" s="6" t="s">
        <v>40</v>
      </c>
    </row>
    <row r="12" spans="1:15" x14ac:dyDescent="0.2">
      <c r="A12" s="6" t="s">
        <v>24</v>
      </c>
      <c r="B12" s="6">
        <v>33</v>
      </c>
      <c r="C12" s="7">
        <v>65000</v>
      </c>
      <c r="D12" s="6" t="s">
        <v>34</v>
      </c>
      <c r="E12" s="6">
        <v>4</v>
      </c>
      <c r="F12" s="6">
        <v>640</v>
      </c>
      <c r="G12" s="7">
        <v>21000</v>
      </c>
      <c r="H12" s="7">
        <v>540</v>
      </c>
      <c r="I12" s="7">
        <v>17000</v>
      </c>
      <c r="J12" s="6">
        <v>36</v>
      </c>
      <c r="K12" s="6" t="s">
        <v>37</v>
      </c>
      <c r="L12" s="6">
        <v>0</v>
      </c>
      <c r="M12" s="6">
        <v>1</v>
      </c>
      <c r="N12" s="6" t="s">
        <v>40</v>
      </c>
    </row>
    <row r="13" spans="1:15" x14ac:dyDescent="0.2">
      <c r="A13" s="6" t="s">
        <v>25</v>
      </c>
      <c r="B13" s="6">
        <v>55</v>
      </c>
      <c r="C13" s="7">
        <v>110000</v>
      </c>
      <c r="D13" s="6" t="s">
        <v>35</v>
      </c>
      <c r="E13" s="6">
        <v>22</v>
      </c>
      <c r="F13" s="6">
        <v>750</v>
      </c>
      <c r="G13" s="7">
        <v>27000</v>
      </c>
      <c r="H13" s="7">
        <v>670</v>
      </c>
      <c r="I13" s="7">
        <v>28000</v>
      </c>
      <c r="J13" s="6">
        <v>60</v>
      </c>
      <c r="K13" s="6" t="s">
        <v>39</v>
      </c>
      <c r="L13" s="6">
        <v>0</v>
      </c>
      <c r="M13" s="6">
        <v>0</v>
      </c>
      <c r="N13" s="6" t="s">
        <v>40</v>
      </c>
    </row>
    <row r="14" spans="1:15" x14ac:dyDescent="0.2">
      <c r="A14" s="6" t="s">
        <v>26</v>
      </c>
      <c r="B14" s="6">
        <v>29</v>
      </c>
      <c r="C14" s="7">
        <v>56000</v>
      </c>
      <c r="D14" s="6" t="s">
        <v>36</v>
      </c>
      <c r="E14" s="6">
        <v>3</v>
      </c>
      <c r="F14" s="6">
        <v>600</v>
      </c>
      <c r="G14" s="7">
        <v>16000</v>
      </c>
      <c r="H14" s="7">
        <v>420</v>
      </c>
      <c r="I14" s="7">
        <v>13000</v>
      </c>
      <c r="J14" s="6">
        <v>36</v>
      </c>
      <c r="K14" s="6" t="s">
        <v>38</v>
      </c>
      <c r="L14" s="6">
        <v>1</v>
      </c>
      <c r="M14" s="6">
        <v>3</v>
      </c>
      <c r="N14" s="6" t="s">
        <v>40</v>
      </c>
    </row>
    <row r="15" spans="1:15" x14ac:dyDescent="0.2">
      <c r="A15" s="6" t="s">
        <v>27</v>
      </c>
      <c r="B15" s="6">
        <v>42</v>
      </c>
      <c r="C15" s="7">
        <v>90000</v>
      </c>
      <c r="D15" s="6" t="s">
        <v>34</v>
      </c>
      <c r="E15" s="6">
        <v>12</v>
      </c>
      <c r="F15" s="6">
        <v>710</v>
      </c>
      <c r="G15" s="7">
        <v>29000</v>
      </c>
      <c r="H15" s="7">
        <v>690</v>
      </c>
      <c r="I15" s="7">
        <v>26000</v>
      </c>
      <c r="J15" s="6">
        <v>60</v>
      </c>
      <c r="K15" s="6" t="s">
        <v>37</v>
      </c>
      <c r="L15" s="6">
        <v>0</v>
      </c>
      <c r="M15" s="6">
        <v>1</v>
      </c>
      <c r="N15" s="6" t="s">
        <v>40</v>
      </c>
    </row>
    <row r="16" spans="1:15" x14ac:dyDescent="0.2">
      <c r="A16" s="6" t="s">
        <v>28</v>
      </c>
      <c r="B16" s="6">
        <v>38</v>
      </c>
      <c r="C16" s="7">
        <v>78000</v>
      </c>
      <c r="D16" s="6" t="s">
        <v>34</v>
      </c>
      <c r="E16" s="6">
        <v>9</v>
      </c>
      <c r="F16" s="6">
        <v>690</v>
      </c>
      <c r="G16" s="7">
        <v>26000</v>
      </c>
      <c r="H16" s="7">
        <v>630</v>
      </c>
      <c r="I16" s="7">
        <v>21000</v>
      </c>
      <c r="J16" s="6">
        <v>36</v>
      </c>
      <c r="K16" s="6" t="s">
        <v>38</v>
      </c>
      <c r="L16" s="6">
        <v>0</v>
      </c>
      <c r="M16" s="6">
        <v>2</v>
      </c>
      <c r="N16" s="6" t="s">
        <v>40</v>
      </c>
    </row>
    <row r="17" spans="1:14" x14ac:dyDescent="0.2">
      <c r="A17" s="6" t="s">
        <v>29</v>
      </c>
      <c r="B17" s="6">
        <v>47</v>
      </c>
      <c r="C17" s="7">
        <v>102000</v>
      </c>
      <c r="D17" s="6" t="s">
        <v>34</v>
      </c>
      <c r="E17" s="6">
        <v>14</v>
      </c>
      <c r="F17" s="6">
        <v>730</v>
      </c>
      <c r="G17" s="7">
        <v>31000</v>
      </c>
      <c r="H17" s="7">
        <v>720</v>
      </c>
      <c r="I17" s="7">
        <v>29000</v>
      </c>
      <c r="J17" s="6">
        <v>60</v>
      </c>
      <c r="K17" s="6" t="s">
        <v>39</v>
      </c>
      <c r="L17" s="6">
        <v>0</v>
      </c>
      <c r="M17" s="6">
        <v>0</v>
      </c>
      <c r="N17" s="6" t="s">
        <v>40</v>
      </c>
    </row>
    <row r="18" spans="1:14" x14ac:dyDescent="0.2">
      <c r="A18" s="6" t="s">
        <v>30</v>
      </c>
      <c r="B18" s="6">
        <v>26</v>
      </c>
      <c r="C18" s="7">
        <v>45000</v>
      </c>
      <c r="D18" s="6" t="s">
        <v>36</v>
      </c>
      <c r="E18" s="6">
        <v>1</v>
      </c>
      <c r="F18" s="6">
        <v>580</v>
      </c>
      <c r="G18" s="7">
        <v>14000</v>
      </c>
      <c r="H18" s="7">
        <v>380</v>
      </c>
      <c r="I18" s="7">
        <v>10000</v>
      </c>
      <c r="J18" s="6">
        <v>36</v>
      </c>
      <c r="K18" s="6" t="s">
        <v>38</v>
      </c>
      <c r="L18" s="6">
        <v>2</v>
      </c>
      <c r="M18" s="6">
        <v>5</v>
      </c>
      <c r="N18" s="6" t="s">
        <v>41</v>
      </c>
    </row>
    <row r="19" spans="1:14" x14ac:dyDescent="0.2">
      <c r="A19" s="6" t="s">
        <v>31</v>
      </c>
      <c r="B19" s="6">
        <v>58</v>
      </c>
      <c r="C19" s="7">
        <v>130000</v>
      </c>
      <c r="D19" s="6" t="s">
        <v>35</v>
      </c>
      <c r="E19" s="6">
        <v>30</v>
      </c>
      <c r="F19" s="6">
        <v>800</v>
      </c>
      <c r="G19" s="7">
        <v>33000</v>
      </c>
      <c r="H19" s="7">
        <v>760</v>
      </c>
      <c r="I19" s="7">
        <v>33000</v>
      </c>
      <c r="J19" s="6">
        <v>60</v>
      </c>
      <c r="K19" s="6" t="s">
        <v>37</v>
      </c>
      <c r="L19" s="6">
        <v>0</v>
      </c>
      <c r="M19" s="6">
        <v>0</v>
      </c>
      <c r="N19" s="6" t="s">
        <v>40</v>
      </c>
    </row>
    <row r="20" spans="1:14" x14ac:dyDescent="0.2">
      <c r="A20" s="6" t="s">
        <v>32</v>
      </c>
      <c r="B20" s="6">
        <v>35</v>
      </c>
      <c r="C20" s="7">
        <v>70000</v>
      </c>
      <c r="D20" s="6" t="s">
        <v>34</v>
      </c>
      <c r="E20" s="6">
        <v>6</v>
      </c>
      <c r="F20" s="6">
        <v>670</v>
      </c>
      <c r="G20" s="7">
        <v>25000</v>
      </c>
      <c r="H20" s="7">
        <v>600</v>
      </c>
      <c r="I20" s="7">
        <v>23000</v>
      </c>
      <c r="J20" s="6">
        <v>36</v>
      </c>
      <c r="K20" s="6" t="s">
        <v>39</v>
      </c>
      <c r="L20" s="6">
        <v>0</v>
      </c>
      <c r="M20" s="6">
        <v>1</v>
      </c>
      <c r="N20" s="6" t="s">
        <v>40</v>
      </c>
    </row>
    <row r="21" spans="1:14" x14ac:dyDescent="0.2">
      <c r="A21" s="6" t="s">
        <v>33</v>
      </c>
      <c r="B21" s="6">
        <v>44</v>
      </c>
      <c r="C21" s="7">
        <v>92000</v>
      </c>
      <c r="D21" s="6" t="s">
        <v>34</v>
      </c>
      <c r="E21" s="6">
        <v>16</v>
      </c>
      <c r="F21" s="6">
        <v>740</v>
      </c>
      <c r="G21" s="7">
        <v>30000</v>
      </c>
      <c r="H21" s="7">
        <v>710</v>
      </c>
      <c r="I21" s="7">
        <v>27000</v>
      </c>
      <c r="J21" s="6">
        <v>60</v>
      </c>
      <c r="K21" s="6" t="s">
        <v>38</v>
      </c>
      <c r="L21" s="6">
        <v>0</v>
      </c>
      <c r="M21" s="6">
        <v>0</v>
      </c>
      <c r="N21" s="6" t="s">
        <v>40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CE67-6FCD-0F4C-B230-A083CCD0B17E}">
  <dimension ref="A1:AE49"/>
  <sheetViews>
    <sheetView showGridLines="0" tabSelected="1" topLeftCell="S1" zoomScale="140" zoomScaleNormal="140" workbookViewId="0">
      <pane ySplit="1" topLeftCell="A2" activePane="bottomLeft" state="frozen"/>
      <selection pane="bottomLeft" activeCell="AM102" sqref="AM102"/>
    </sheetView>
  </sheetViews>
  <sheetFormatPr baseColWidth="10" defaultRowHeight="16" x14ac:dyDescent="0.2"/>
  <cols>
    <col min="1" max="1" width="13.33203125" bestFit="1" customWidth="1"/>
    <col min="2" max="2" width="13" bestFit="1" customWidth="1"/>
    <col min="3" max="3" width="18.1640625" bestFit="1" customWidth="1"/>
    <col min="4" max="4" width="22.1640625" bestFit="1" customWidth="1"/>
    <col min="5" max="5" width="14.1640625" bestFit="1" customWidth="1"/>
    <col min="6" max="6" width="12.5" bestFit="1" customWidth="1"/>
    <col min="7" max="7" width="21.1640625" bestFit="1" customWidth="1"/>
    <col min="8" max="8" width="12.5" bestFit="1" customWidth="1"/>
    <col min="9" max="9" width="17.5" bestFit="1" customWidth="1"/>
    <col min="10" max="10" width="13" bestFit="1" customWidth="1"/>
    <col min="11" max="11" width="12" bestFit="1" customWidth="1"/>
    <col min="12" max="12" width="17" bestFit="1" customWidth="1"/>
    <col min="13" max="13" width="13" bestFit="1" customWidth="1"/>
    <col min="14" max="14" width="17.83203125" bestFit="1" customWidth="1"/>
    <col min="15" max="15" width="14.83203125" bestFit="1" customWidth="1"/>
    <col min="16" max="16" width="15.1640625" bestFit="1" customWidth="1"/>
    <col min="17" max="18" width="15" bestFit="1" customWidth="1"/>
    <col min="19" max="19" width="16" bestFit="1" customWidth="1"/>
    <col min="20" max="20" width="12" bestFit="1" customWidth="1"/>
    <col min="21" max="21" width="9.6640625" bestFit="1" customWidth="1"/>
    <col min="22" max="22" width="17.83203125" bestFit="1" customWidth="1"/>
    <col min="23" max="23" width="18.6640625" bestFit="1" customWidth="1"/>
    <col min="24" max="24" width="19.1640625" bestFit="1" customWidth="1"/>
    <col min="25" max="25" width="10.33203125" bestFit="1" customWidth="1"/>
    <col min="26" max="26" width="12.5" bestFit="1" customWidth="1"/>
    <col min="27" max="27" width="15.33203125" bestFit="1" customWidth="1"/>
    <col min="28" max="28" width="16" bestFit="1" customWidth="1"/>
    <col min="30" max="30" width="24.1640625" bestFit="1" customWidth="1"/>
  </cols>
  <sheetData>
    <row r="1" spans="1:31" ht="19" x14ac:dyDescent="0.25">
      <c r="A1" s="2" t="s">
        <v>0</v>
      </c>
      <c r="B1" s="2" t="s">
        <v>1</v>
      </c>
      <c r="C1" s="2" t="s">
        <v>3</v>
      </c>
      <c r="D1" s="2" t="s">
        <v>4</v>
      </c>
      <c r="E1" s="4" t="s">
        <v>2</v>
      </c>
      <c r="F1" s="4" t="s">
        <v>6</v>
      </c>
      <c r="G1" s="4" t="s">
        <v>7</v>
      </c>
      <c r="H1" s="4" t="s">
        <v>8</v>
      </c>
      <c r="I1" s="2" t="s">
        <v>9</v>
      </c>
      <c r="J1" s="2" t="s">
        <v>10</v>
      </c>
      <c r="K1" s="2" t="s">
        <v>5</v>
      </c>
      <c r="L1" s="2" t="s">
        <v>45</v>
      </c>
      <c r="M1" s="2" t="s">
        <v>11</v>
      </c>
      <c r="N1" s="2" t="s">
        <v>12</v>
      </c>
      <c r="O1" s="2" t="s">
        <v>13</v>
      </c>
      <c r="P1" s="2" t="s">
        <v>42</v>
      </c>
      <c r="Q1" s="2" t="s">
        <v>43</v>
      </c>
      <c r="R1" s="2" t="s">
        <v>44</v>
      </c>
      <c r="S1" s="2" t="s">
        <v>46</v>
      </c>
      <c r="T1" s="2" t="s">
        <v>87</v>
      </c>
      <c r="U1" s="2" t="s">
        <v>88</v>
      </c>
      <c r="V1" s="2" t="s">
        <v>89</v>
      </c>
      <c r="W1" s="2" t="s">
        <v>92</v>
      </c>
      <c r="X1" s="2" t="s">
        <v>90</v>
      </c>
      <c r="Y1" s="2" t="s">
        <v>83</v>
      </c>
      <c r="Z1" s="2" t="s">
        <v>84</v>
      </c>
      <c r="AA1" s="2" t="s">
        <v>91</v>
      </c>
      <c r="AB1" s="2" t="s">
        <v>85</v>
      </c>
      <c r="AD1" s="23" t="s">
        <v>93</v>
      </c>
      <c r="AE1" s="6"/>
    </row>
    <row r="2" spans="1:31" x14ac:dyDescent="0.2">
      <c r="A2" s="6" t="s">
        <v>14</v>
      </c>
      <c r="B2" s="6">
        <v>28</v>
      </c>
      <c r="C2" s="6" t="s">
        <v>34</v>
      </c>
      <c r="D2" s="6">
        <v>3</v>
      </c>
      <c r="E2" s="6">
        <v>52000</v>
      </c>
      <c r="F2" s="6">
        <v>18000</v>
      </c>
      <c r="G2" s="6">
        <v>580</v>
      </c>
      <c r="H2" s="6">
        <v>15000</v>
      </c>
      <c r="I2" s="6">
        <v>36</v>
      </c>
      <c r="J2" s="6" t="s">
        <v>37</v>
      </c>
      <c r="K2" s="6">
        <v>720</v>
      </c>
      <c r="L2" s="6" t="str">
        <f t="shared" ref="L2:L21" si="0">IF(K2&gt;=750,"Prime",IF(K2&gt;=700,"Near-Prime","Subprime"))</f>
        <v>Near-Prime</v>
      </c>
      <c r="M2" s="6">
        <v>0</v>
      </c>
      <c r="N2" s="6">
        <v>1</v>
      </c>
      <c r="O2" s="6" t="s">
        <v>40</v>
      </c>
      <c r="P2" s="8">
        <f t="shared" ref="P2:P21" si="1">E2/12</f>
        <v>4333.333333333333</v>
      </c>
      <c r="Q2" s="9">
        <f t="shared" ref="Q2:Q21" si="2">G2/P2</f>
        <v>0.13384615384615386</v>
      </c>
      <c r="R2" s="9">
        <f t="shared" ref="R2:R21" si="3">H2/E2</f>
        <v>0.28846153846153844</v>
      </c>
      <c r="S2" s="6">
        <f t="shared" ref="S2:S21" si="4">(M2&gt;0)+(N2&gt;=3)+(O2="Yes")+(Q2&gt;0.4)</f>
        <v>0</v>
      </c>
      <c r="T2" s="14">
        <f t="shared" ref="T2:T21" si="5">IF(K2&gt;=750,100,
 IF(K2&gt;=700,85,
 IF(K2&gt;=650,70,
 IF(K2&gt;=600,50,30))))</f>
        <v>85</v>
      </c>
      <c r="U2" s="14">
        <f t="shared" ref="U2:U21" si="6">IF(Q2&lt;=0.25,100,
 IF(Q2&lt;=0.35,80,
 IF(Q2&lt;=0.5,60,30)))</f>
        <v>100</v>
      </c>
      <c r="V2" s="14">
        <f t="shared" ref="V2:V21" si="7">IF(D2&gt;=10,100,
 IF(D2&gt;=5,80,
 IF(D2&gt;=2,60,30)))</f>
        <v>60</v>
      </c>
      <c r="W2" s="14">
        <f t="shared" ref="W2:W21" si="8">IF(M2=0,100,IF(M2=1,50,20))</f>
        <v>100</v>
      </c>
      <c r="X2" s="14">
        <f t="shared" ref="X2:X21" si="9">IF(N2=0,100,IF(N2&lt;=2,70,30))</f>
        <v>70</v>
      </c>
      <c r="Y2" s="15">
        <f t="shared" ref="Y2:Y21" si="10">T2*0.35 + U2*0.25 + V2*0.15 + W2*0.15 + X2*0.1</f>
        <v>85.75</v>
      </c>
      <c r="Z2" s="16" t="str">
        <f>IF(Y2&gt;=80,"Low Risk",
 IF(Y2&gt;=65,"Medium Risk",
 IF(Y2&gt;=50,"High Risk","Very High Risk")))</f>
        <v>Low Risk</v>
      </c>
      <c r="AA2" s="14" t="str">
        <f t="shared" ref="AA2:AA21" si="11">IF(O2="Yes","Auto Decline",
 IF(M2&gt;=2,"Auto Decline",
 IF(Q2&gt;0.45,"High DTI Review",
 IF(S2&gt;=2,"Enhanced Review","None"))))</f>
        <v>None</v>
      </c>
      <c r="AB2" s="16" t="str">
        <f t="shared" ref="AB2:AB21" si="12">IF(AA2="Auto Decline","Decline",
 IF(AA2="High DTI Review","Manual Review",
 IF(AA2="Enhanced Review","Manual Review",
 IF(Z2="Low Risk","Approve",
 IF(Z2="Medium Risk","Manual Review",
 IF(Z2="High Risk","Conditional Review","Decline"))))))</f>
        <v>Approve</v>
      </c>
      <c r="AD2" s="6"/>
      <c r="AE2" s="20"/>
    </row>
    <row r="3" spans="1:31" x14ac:dyDescent="0.2">
      <c r="A3" s="6" t="s">
        <v>15</v>
      </c>
      <c r="B3" s="6">
        <v>34</v>
      </c>
      <c r="C3" s="6" t="s">
        <v>34</v>
      </c>
      <c r="D3" s="6">
        <v>6</v>
      </c>
      <c r="E3" s="6">
        <v>68000</v>
      </c>
      <c r="F3" s="6">
        <v>25000</v>
      </c>
      <c r="G3" s="6">
        <v>620</v>
      </c>
      <c r="H3" s="6">
        <v>20000</v>
      </c>
      <c r="I3" s="6">
        <v>60</v>
      </c>
      <c r="J3" s="6" t="s">
        <v>38</v>
      </c>
      <c r="K3" s="6">
        <v>680</v>
      </c>
      <c r="L3" s="6" t="str">
        <f t="shared" si="0"/>
        <v>Subprime</v>
      </c>
      <c r="M3" s="6">
        <v>0</v>
      </c>
      <c r="N3" s="6">
        <v>2</v>
      </c>
      <c r="O3" s="6" t="s">
        <v>40</v>
      </c>
      <c r="P3" s="8">
        <f t="shared" si="1"/>
        <v>5666.666666666667</v>
      </c>
      <c r="Q3" s="9">
        <f t="shared" si="2"/>
        <v>0.10941176470588235</v>
      </c>
      <c r="R3" s="9">
        <f t="shared" si="3"/>
        <v>0.29411764705882354</v>
      </c>
      <c r="S3" s="6">
        <f t="shared" si="4"/>
        <v>0</v>
      </c>
      <c r="T3" s="14">
        <f t="shared" si="5"/>
        <v>70</v>
      </c>
      <c r="U3" s="14">
        <f t="shared" si="6"/>
        <v>100</v>
      </c>
      <c r="V3" s="14">
        <f t="shared" si="7"/>
        <v>80</v>
      </c>
      <c r="W3" s="14">
        <f t="shared" si="8"/>
        <v>100</v>
      </c>
      <c r="X3" s="14">
        <f t="shared" si="9"/>
        <v>70</v>
      </c>
      <c r="Y3" s="15">
        <f t="shared" si="10"/>
        <v>83.5</v>
      </c>
      <c r="Z3" s="16" t="str">
        <f t="shared" ref="Z3:Z21" si="13">IF(Y3&gt;=80,"Low Risk",
 IF(Y3&gt;=65,"Medium Risk",
 IF(Y3&gt;=50,"High Risk","Very High Risk")))</f>
        <v>Low Risk</v>
      </c>
      <c r="AA3" s="14" t="str">
        <f t="shared" si="11"/>
        <v>None</v>
      </c>
      <c r="AB3" s="16" t="str">
        <f t="shared" si="12"/>
        <v>Approve</v>
      </c>
      <c r="AD3" s="21" t="s">
        <v>94</v>
      </c>
      <c r="AE3" s="6">
        <f>COUNTA(A2:A21)</f>
        <v>20</v>
      </c>
    </row>
    <row r="4" spans="1:31" x14ac:dyDescent="0.2">
      <c r="A4" s="6" t="s">
        <v>16</v>
      </c>
      <c r="B4" s="6">
        <v>45</v>
      </c>
      <c r="C4" s="6" t="s">
        <v>34</v>
      </c>
      <c r="D4" s="6">
        <v>15</v>
      </c>
      <c r="E4" s="6">
        <v>95000</v>
      </c>
      <c r="F4" s="6">
        <v>30000</v>
      </c>
      <c r="G4" s="6">
        <v>700</v>
      </c>
      <c r="H4" s="6">
        <v>25000</v>
      </c>
      <c r="I4" s="6">
        <v>36</v>
      </c>
      <c r="J4" s="6" t="s">
        <v>39</v>
      </c>
      <c r="K4" s="6">
        <v>760</v>
      </c>
      <c r="L4" s="6" t="str">
        <f t="shared" si="0"/>
        <v>Prime</v>
      </c>
      <c r="M4" s="6">
        <v>0</v>
      </c>
      <c r="N4" s="6">
        <v>0</v>
      </c>
      <c r="O4" s="6" t="s">
        <v>40</v>
      </c>
      <c r="P4" s="8">
        <f t="shared" si="1"/>
        <v>7916.666666666667</v>
      </c>
      <c r="Q4" s="9">
        <f t="shared" si="2"/>
        <v>8.8421052631578942E-2</v>
      </c>
      <c r="R4" s="9">
        <f t="shared" si="3"/>
        <v>0.26315789473684209</v>
      </c>
      <c r="S4" s="6">
        <f t="shared" si="4"/>
        <v>0</v>
      </c>
      <c r="T4" s="14">
        <f t="shared" si="5"/>
        <v>100</v>
      </c>
      <c r="U4" s="14">
        <f t="shared" si="6"/>
        <v>100</v>
      </c>
      <c r="V4" s="14">
        <f t="shared" si="7"/>
        <v>100</v>
      </c>
      <c r="W4" s="14">
        <f t="shared" si="8"/>
        <v>100</v>
      </c>
      <c r="X4" s="14">
        <f t="shared" si="9"/>
        <v>100</v>
      </c>
      <c r="Y4" s="15">
        <f t="shared" si="10"/>
        <v>100</v>
      </c>
      <c r="Z4" s="16" t="str">
        <f t="shared" si="13"/>
        <v>Low Risk</v>
      </c>
      <c r="AA4" s="14" t="str">
        <f t="shared" si="11"/>
        <v>None</v>
      </c>
      <c r="AB4" s="16" t="str">
        <f t="shared" si="12"/>
        <v>Approve</v>
      </c>
      <c r="AD4" s="21" t="s">
        <v>95</v>
      </c>
      <c r="AE4" s="6">
        <f>COUNTIF(AB2:AB21,"Approve")</f>
        <v>14</v>
      </c>
    </row>
    <row r="5" spans="1:31" x14ac:dyDescent="0.2">
      <c r="A5" s="6" t="s">
        <v>17</v>
      </c>
      <c r="B5" s="6">
        <v>52</v>
      </c>
      <c r="C5" s="6" t="s">
        <v>35</v>
      </c>
      <c r="D5" s="6">
        <v>20</v>
      </c>
      <c r="E5" s="6">
        <v>120000</v>
      </c>
      <c r="F5" s="6">
        <v>20000</v>
      </c>
      <c r="G5" s="6">
        <v>3500</v>
      </c>
      <c r="H5" s="6">
        <v>30000</v>
      </c>
      <c r="I5" s="6">
        <v>60</v>
      </c>
      <c r="J5" s="6" t="s">
        <v>37</v>
      </c>
      <c r="K5" s="6">
        <v>810</v>
      </c>
      <c r="L5" s="6" t="str">
        <f t="shared" si="0"/>
        <v>Prime</v>
      </c>
      <c r="M5" s="6">
        <v>1</v>
      </c>
      <c r="N5" s="6">
        <v>3</v>
      </c>
      <c r="O5" s="6" t="s">
        <v>40</v>
      </c>
      <c r="P5" s="8">
        <f t="shared" si="1"/>
        <v>10000</v>
      </c>
      <c r="Q5" s="9">
        <f t="shared" si="2"/>
        <v>0.35</v>
      </c>
      <c r="R5" s="9">
        <f t="shared" si="3"/>
        <v>0.25</v>
      </c>
      <c r="S5" s="6">
        <f t="shared" si="4"/>
        <v>2</v>
      </c>
      <c r="T5" s="14">
        <f t="shared" si="5"/>
        <v>100</v>
      </c>
      <c r="U5" s="14">
        <f t="shared" si="6"/>
        <v>80</v>
      </c>
      <c r="V5" s="14">
        <f t="shared" si="7"/>
        <v>100</v>
      </c>
      <c r="W5" s="14">
        <f t="shared" si="8"/>
        <v>50</v>
      </c>
      <c r="X5" s="14">
        <f t="shared" si="9"/>
        <v>30</v>
      </c>
      <c r="Y5" s="15">
        <f t="shared" si="10"/>
        <v>80.5</v>
      </c>
      <c r="Z5" s="16" t="str">
        <f t="shared" si="13"/>
        <v>Low Risk</v>
      </c>
      <c r="AA5" s="14" t="str">
        <f t="shared" si="11"/>
        <v>Enhanced Review</v>
      </c>
      <c r="AB5" s="19" t="str">
        <f t="shared" si="12"/>
        <v>Manual Review</v>
      </c>
      <c r="AD5" s="21" t="s">
        <v>96</v>
      </c>
      <c r="AE5" s="6">
        <f>COUNTIF(AB2:AB21,"Manual Review")</f>
        <v>5</v>
      </c>
    </row>
    <row r="6" spans="1:31" x14ac:dyDescent="0.2">
      <c r="A6" s="6" t="s">
        <v>18</v>
      </c>
      <c r="B6" s="6">
        <v>31</v>
      </c>
      <c r="C6" s="6" t="s">
        <v>34</v>
      </c>
      <c r="D6" s="6">
        <v>5</v>
      </c>
      <c r="E6" s="6">
        <v>60000</v>
      </c>
      <c r="F6" s="6">
        <v>22000</v>
      </c>
      <c r="G6" s="6">
        <v>580</v>
      </c>
      <c r="H6" s="6">
        <v>18000</v>
      </c>
      <c r="I6" s="6">
        <v>36</v>
      </c>
      <c r="J6" s="6" t="s">
        <v>38</v>
      </c>
      <c r="K6" s="6">
        <v>650</v>
      </c>
      <c r="L6" s="6" t="str">
        <f t="shared" si="0"/>
        <v>Subprime</v>
      </c>
      <c r="M6" s="6">
        <v>0</v>
      </c>
      <c r="N6" s="6">
        <v>1</v>
      </c>
      <c r="O6" s="6" t="s">
        <v>40</v>
      </c>
      <c r="P6" s="8">
        <f t="shared" si="1"/>
        <v>5000</v>
      </c>
      <c r="Q6" s="9">
        <f t="shared" si="2"/>
        <v>0.11600000000000001</v>
      </c>
      <c r="R6" s="9">
        <f t="shared" si="3"/>
        <v>0.3</v>
      </c>
      <c r="S6" s="6">
        <f t="shared" si="4"/>
        <v>0</v>
      </c>
      <c r="T6" s="14">
        <f t="shared" si="5"/>
        <v>70</v>
      </c>
      <c r="U6" s="14">
        <f t="shared" si="6"/>
        <v>100</v>
      </c>
      <c r="V6" s="14">
        <f t="shared" si="7"/>
        <v>80</v>
      </c>
      <c r="W6" s="14">
        <f t="shared" si="8"/>
        <v>100</v>
      </c>
      <c r="X6" s="14">
        <f t="shared" si="9"/>
        <v>70</v>
      </c>
      <c r="Y6" s="15">
        <f t="shared" si="10"/>
        <v>83.5</v>
      </c>
      <c r="Z6" s="16" t="str">
        <f t="shared" si="13"/>
        <v>Low Risk</v>
      </c>
      <c r="AA6" s="14" t="str">
        <f t="shared" si="11"/>
        <v>None</v>
      </c>
      <c r="AB6" s="16" t="str">
        <f t="shared" si="12"/>
        <v>Approve</v>
      </c>
      <c r="AD6" s="21" t="s">
        <v>97</v>
      </c>
      <c r="AE6" s="6">
        <f>COUNTIF(AB2:AB21,"Decline")</f>
        <v>1</v>
      </c>
    </row>
    <row r="7" spans="1:31" x14ac:dyDescent="0.2">
      <c r="A7" s="6" t="s">
        <v>19</v>
      </c>
      <c r="B7" s="6">
        <v>40</v>
      </c>
      <c r="C7" s="6" t="s">
        <v>34</v>
      </c>
      <c r="D7" s="6">
        <v>10</v>
      </c>
      <c r="E7" s="6">
        <v>85000</v>
      </c>
      <c r="F7" s="6">
        <v>28000</v>
      </c>
      <c r="G7" s="6">
        <v>650</v>
      </c>
      <c r="H7" s="6">
        <v>22000</v>
      </c>
      <c r="I7" s="6">
        <v>60</v>
      </c>
      <c r="J7" s="6" t="s">
        <v>39</v>
      </c>
      <c r="K7" s="6">
        <v>700</v>
      </c>
      <c r="L7" s="6" t="str">
        <f t="shared" si="0"/>
        <v>Near-Prime</v>
      </c>
      <c r="M7" s="6">
        <v>0</v>
      </c>
      <c r="N7" s="6">
        <v>2</v>
      </c>
      <c r="O7" s="6" t="s">
        <v>40</v>
      </c>
      <c r="P7" s="8">
        <f t="shared" si="1"/>
        <v>7083.333333333333</v>
      </c>
      <c r="Q7" s="9">
        <f t="shared" si="2"/>
        <v>9.1764705882352943E-2</v>
      </c>
      <c r="R7" s="9">
        <f t="shared" si="3"/>
        <v>0.25882352941176473</v>
      </c>
      <c r="S7" s="6">
        <f t="shared" si="4"/>
        <v>0</v>
      </c>
      <c r="T7" s="14">
        <f t="shared" si="5"/>
        <v>85</v>
      </c>
      <c r="U7" s="14">
        <f t="shared" si="6"/>
        <v>100</v>
      </c>
      <c r="V7" s="14">
        <f t="shared" si="7"/>
        <v>100</v>
      </c>
      <c r="W7" s="14">
        <f t="shared" si="8"/>
        <v>100</v>
      </c>
      <c r="X7" s="14">
        <f t="shared" si="9"/>
        <v>70</v>
      </c>
      <c r="Y7" s="15">
        <f t="shared" si="10"/>
        <v>91.75</v>
      </c>
      <c r="Z7" s="16" t="str">
        <f t="shared" si="13"/>
        <v>Low Risk</v>
      </c>
      <c r="AA7" s="14" t="str">
        <f t="shared" si="11"/>
        <v>None</v>
      </c>
      <c r="AB7" s="16" t="str">
        <f t="shared" si="12"/>
        <v>Approve</v>
      </c>
      <c r="AD7" s="21" t="s">
        <v>98</v>
      </c>
      <c r="AE7" s="22">
        <f>AE4/AE3</f>
        <v>0.7</v>
      </c>
    </row>
    <row r="8" spans="1:31" x14ac:dyDescent="0.2">
      <c r="A8" s="6" t="s">
        <v>20</v>
      </c>
      <c r="B8" s="6">
        <v>27</v>
      </c>
      <c r="C8" s="6" t="s">
        <v>36</v>
      </c>
      <c r="D8" s="6">
        <v>2</v>
      </c>
      <c r="E8" s="6">
        <v>48000</v>
      </c>
      <c r="F8" s="6">
        <v>15000</v>
      </c>
      <c r="G8" s="6">
        <v>1400</v>
      </c>
      <c r="H8" s="6">
        <v>12000</v>
      </c>
      <c r="I8" s="6">
        <v>36</v>
      </c>
      <c r="J8" s="6" t="s">
        <v>38</v>
      </c>
      <c r="K8" s="6">
        <v>610</v>
      </c>
      <c r="L8" s="6" t="str">
        <f t="shared" si="0"/>
        <v>Subprime</v>
      </c>
      <c r="M8" s="6">
        <v>1</v>
      </c>
      <c r="N8" s="6">
        <v>4</v>
      </c>
      <c r="O8" s="6" t="s">
        <v>40</v>
      </c>
      <c r="P8" s="8">
        <f t="shared" si="1"/>
        <v>4000</v>
      </c>
      <c r="Q8" s="9">
        <f t="shared" si="2"/>
        <v>0.35</v>
      </c>
      <c r="R8" s="9">
        <f t="shared" si="3"/>
        <v>0.25</v>
      </c>
      <c r="S8" s="6">
        <f t="shared" si="4"/>
        <v>2</v>
      </c>
      <c r="T8" s="14">
        <f t="shared" si="5"/>
        <v>50</v>
      </c>
      <c r="U8" s="14">
        <f t="shared" si="6"/>
        <v>80</v>
      </c>
      <c r="V8" s="14">
        <f t="shared" si="7"/>
        <v>60</v>
      </c>
      <c r="W8" s="14">
        <f t="shared" si="8"/>
        <v>50</v>
      </c>
      <c r="X8" s="14">
        <f t="shared" si="9"/>
        <v>30</v>
      </c>
      <c r="Y8" s="15">
        <f t="shared" si="10"/>
        <v>57</v>
      </c>
      <c r="Z8" s="17" t="str">
        <f t="shared" si="13"/>
        <v>High Risk</v>
      </c>
      <c r="AA8" s="14" t="str">
        <f t="shared" si="11"/>
        <v>Enhanced Review</v>
      </c>
      <c r="AB8" s="19" t="str">
        <f t="shared" si="12"/>
        <v>Manual Review</v>
      </c>
      <c r="AD8" s="21" t="s">
        <v>99</v>
      </c>
      <c r="AE8" s="13">
        <f>AVERAGE(Y2:Y21)</f>
        <v>82.087500000000006</v>
      </c>
    </row>
    <row r="9" spans="1:31" x14ac:dyDescent="0.2">
      <c r="A9" s="6" t="s">
        <v>21</v>
      </c>
      <c r="B9" s="6">
        <v>36</v>
      </c>
      <c r="C9" s="6" t="s">
        <v>34</v>
      </c>
      <c r="D9" s="6">
        <v>7</v>
      </c>
      <c r="E9" s="6">
        <v>72000</v>
      </c>
      <c r="F9" s="6">
        <v>26000</v>
      </c>
      <c r="G9" s="6">
        <v>610</v>
      </c>
      <c r="H9" s="6">
        <v>20000</v>
      </c>
      <c r="I9" s="6">
        <v>60</v>
      </c>
      <c r="J9" s="6" t="s">
        <v>37</v>
      </c>
      <c r="K9" s="6">
        <v>690</v>
      </c>
      <c r="L9" s="6" t="str">
        <f t="shared" si="0"/>
        <v>Subprime</v>
      </c>
      <c r="M9" s="6">
        <v>0</v>
      </c>
      <c r="N9" s="6">
        <v>1</v>
      </c>
      <c r="O9" s="6" t="s">
        <v>40</v>
      </c>
      <c r="P9" s="8">
        <f t="shared" si="1"/>
        <v>6000</v>
      </c>
      <c r="Q9" s="9">
        <f t="shared" si="2"/>
        <v>0.10166666666666667</v>
      </c>
      <c r="R9" s="9">
        <f t="shared" si="3"/>
        <v>0.27777777777777779</v>
      </c>
      <c r="S9" s="6">
        <f t="shared" si="4"/>
        <v>0</v>
      </c>
      <c r="T9" s="14">
        <f t="shared" si="5"/>
        <v>70</v>
      </c>
      <c r="U9" s="14">
        <f t="shared" si="6"/>
        <v>100</v>
      </c>
      <c r="V9" s="14">
        <f t="shared" si="7"/>
        <v>80</v>
      </c>
      <c r="W9" s="14">
        <f t="shared" si="8"/>
        <v>100</v>
      </c>
      <c r="X9" s="14">
        <f t="shared" si="9"/>
        <v>70</v>
      </c>
      <c r="Y9" s="15">
        <f t="shared" si="10"/>
        <v>83.5</v>
      </c>
      <c r="Z9" s="16" t="str">
        <f t="shared" si="13"/>
        <v>Low Risk</v>
      </c>
      <c r="AA9" s="14" t="str">
        <f t="shared" si="11"/>
        <v>None</v>
      </c>
      <c r="AB9" s="16" t="str">
        <f t="shared" si="12"/>
        <v>Approve</v>
      </c>
      <c r="AD9" s="21" t="s">
        <v>100</v>
      </c>
      <c r="AE9" s="22">
        <f>(COUNTIF(Z2:Z21,"High Risk")+COUNTIF(Z2:Z21,"Very High Risk"))/AE3</f>
        <v>0.15</v>
      </c>
    </row>
    <row r="10" spans="1:31" x14ac:dyDescent="0.2">
      <c r="A10" s="6" t="s">
        <v>22</v>
      </c>
      <c r="B10" s="6">
        <v>60</v>
      </c>
      <c r="C10" s="6" t="s">
        <v>34</v>
      </c>
      <c r="D10" s="6">
        <v>25</v>
      </c>
      <c r="E10" s="6">
        <v>140000</v>
      </c>
      <c r="F10" s="6">
        <v>35000</v>
      </c>
      <c r="G10" s="6">
        <v>800</v>
      </c>
      <c r="H10" s="6">
        <v>35000</v>
      </c>
      <c r="I10" s="6">
        <v>60</v>
      </c>
      <c r="J10" s="6" t="s">
        <v>39</v>
      </c>
      <c r="K10" s="6">
        <v>790</v>
      </c>
      <c r="L10" s="6" t="str">
        <f t="shared" si="0"/>
        <v>Prime</v>
      </c>
      <c r="M10" s="6">
        <v>0</v>
      </c>
      <c r="N10" s="6">
        <v>0</v>
      </c>
      <c r="O10" s="6" t="s">
        <v>40</v>
      </c>
      <c r="P10" s="8">
        <f t="shared" si="1"/>
        <v>11666.666666666666</v>
      </c>
      <c r="Q10" s="9">
        <f t="shared" si="2"/>
        <v>6.8571428571428575E-2</v>
      </c>
      <c r="R10" s="9">
        <f t="shared" si="3"/>
        <v>0.25</v>
      </c>
      <c r="S10" s="6">
        <f t="shared" si="4"/>
        <v>0</v>
      </c>
      <c r="T10" s="14">
        <f t="shared" si="5"/>
        <v>100</v>
      </c>
      <c r="U10" s="14">
        <f t="shared" si="6"/>
        <v>100</v>
      </c>
      <c r="V10" s="14">
        <f t="shared" si="7"/>
        <v>100</v>
      </c>
      <c r="W10" s="14">
        <f t="shared" si="8"/>
        <v>100</v>
      </c>
      <c r="X10" s="14">
        <f t="shared" si="9"/>
        <v>100</v>
      </c>
      <c r="Y10" s="15">
        <f t="shared" si="10"/>
        <v>100</v>
      </c>
      <c r="Z10" s="16" t="str">
        <f t="shared" si="13"/>
        <v>Low Risk</v>
      </c>
      <c r="AA10" s="14" t="str">
        <f t="shared" si="11"/>
        <v>None</v>
      </c>
      <c r="AB10" s="16" t="str">
        <f t="shared" si="12"/>
        <v>Approve</v>
      </c>
    </row>
    <row r="11" spans="1:31" x14ac:dyDescent="0.2">
      <c r="A11" s="6" t="s">
        <v>23</v>
      </c>
      <c r="B11" s="6">
        <v>49</v>
      </c>
      <c r="C11" s="6" t="s">
        <v>35</v>
      </c>
      <c r="D11" s="6">
        <v>18</v>
      </c>
      <c r="E11" s="6">
        <v>98000</v>
      </c>
      <c r="F11" s="6">
        <v>24000</v>
      </c>
      <c r="G11" s="6">
        <v>1800</v>
      </c>
      <c r="H11" s="6">
        <v>24000</v>
      </c>
      <c r="I11" s="6">
        <v>36</v>
      </c>
      <c r="J11" s="6" t="s">
        <v>38</v>
      </c>
      <c r="K11" s="6">
        <v>670</v>
      </c>
      <c r="L11" s="6" t="str">
        <f t="shared" si="0"/>
        <v>Subprime</v>
      </c>
      <c r="M11" s="6">
        <v>1</v>
      </c>
      <c r="N11" s="6">
        <v>2</v>
      </c>
      <c r="O11" s="6" t="s">
        <v>40</v>
      </c>
      <c r="P11" s="8">
        <f t="shared" si="1"/>
        <v>8166.666666666667</v>
      </c>
      <c r="Q11" s="9">
        <f t="shared" si="2"/>
        <v>0.2204081632653061</v>
      </c>
      <c r="R11" s="9">
        <f t="shared" si="3"/>
        <v>0.24489795918367346</v>
      </c>
      <c r="S11" s="6">
        <f t="shared" si="4"/>
        <v>1</v>
      </c>
      <c r="T11" s="14">
        <f t="shared" si="5"/>
        <v>70</v>
      </c>
      <c r="U11" s="14">
        <f t="shared" si="6"/>
        <v>100</v>
      </c>
      <c r="V11" s="14">
        <f t="shared" si="7"/>
        <v>100</v>
      </c>
      <c r="W11" s="14">
        <f t="shared" si="8"/>
        <v>50</v>
      </c>
      <c r="X11" s="14">
        <f t="shared" si="9"/>
        <v>70</v>
      </c>
      <c r="Y11" s="15">
        <f t="shared" si="10"/>
        <v>79</v>
      </c>
      <c r="Z11" s="19" t="str">
        <f t="shared" si="13"/>
        <v>Medium Risk</v>
      </c>
      <c r="AA11" s="14" t="str">
        <f t="shared" si="11"/>
        <v>None</v>
      </c>
      <c r="AB11" s="19" t="str">
        <f t="shared" si="12"/>
        <v>Manual Review</v>
      </c>
    </row>
    <row r="12" spans="1:31" x14ac:dyDescent="0.2">
      <c r="A12" s="6" t="s">
        <v>24</v>
      </c>
      <c r="B12" s="6">
        <v>33</v>
      </c>
      <c r="C12" s="6" t="s">
        <v>34</v>
      </c>
      <c r="D12" s="6">
        <v>4</v>
      </c>
      <c r="E12" s="6">
        <v>65000</v>
      </c>
      <c r="F12" s="6">
        <v>21000</v>
      </c>
      <c r="G12" s="6">
        <v>540</v>
      </c>
      <c r="H12" s="6">
        <v>17000</v>
      </c>
      <c r="I12" s="6">
        <v>36</v>
      </c>
      <c r="J12" s="6" t="s">
        <v>37</v>
      </c>
      <c r="K12" s="6">
        <v>640</v>
      </c>
      <c r="L12" s="6" t="str">
        <f t="shared" si="0"/>
        <v>Subprime</v>
      </c>
      <c r="M12" s="6">
        <v>0</v>
      </c>
      <c r="N12" s="6">
        <v>1</v>
      </c>
      <c r="O12" s="6" t="s">
        <v>40</v>
      </c>
      <c r="P12" s="8">
        <f t="shared" si="1"/>
        <v>5416.666666666667</v>
      </c>
      <c r="Q12" s="9">
        <f t="shared" si="2"/>
        <v>9.9692307692307691E-2</v>
      </c>
      <c r="R12" s="9">
        <f t="shared" si="3"/>
        <v>0.26153846153846155</v>
      </c>
      <c r="S12" s="6">
        <f t="shared" si="4"/>
        <v>0</v>
      </c>
      <c r="T12" s="14">
        <f t="shared" si="5"/>
        <v>50</v>
      </c>
      <c r="U12" s="14">
        <f t="shared" si="6"/>
        <v>100</v>
      </c>
      <c r="V12" s="14">
        <f t="shared" si="7"/>
        <v>60</v>
      </c>
      <c r="W12" s="14">
        <f t="shared" si="8"/>
        <v>100</v>
      </c>
      <c r="X12" s="14">
        <f t="shared" si="9"/>
        <v>70</v>
      </c>
      <c r="Y12" s="15">
        <f t="shared" si="10"/>
        <v>73.5</v>
      </c>
      <c r="Z12" s="19" t="str">
        <f t="shared" si="13"/>
        <v>Medium Risk</v>
      </c>
      <c r="AA12" s="14" t="str">
        <f t="shared" si="11"/>
        <v>None</v>
      </c>
      <c r="AB12" s="19" t="str">
        <f t="shared" si="12"/>
        <v>Manual Review</v>
      </c>
    </row>
    <row r="13" spans="1:31" x14ac:dyDescent="0.2">
      <c r="A13" s="6" t="s">
        <v>25</v>
      </c>
      <c r="B13" s="6">
        <v>55</v>
      </c>
      <c r="C13" s="6" t="s">
        <v>35</v>
      </c>
      <c r="D13" s="6">
        <v>22</v>
      </c>
      <c r="E13" s="6">
        <v>110000</v>
      </c>
      <c r="F13" s="6">
        <v>27000</v>
      </c>
      <c r="G13" s="6">
        <v>670</v>
      </c>
      <c r="H13" s="6">
        <v>28000</v>
      </c>
      <c r="I13" s="6">
        <v>60</v>
      </c>
      <c r="J13" s="6" t="s">
        <v>39</v>
      </c>
      <c r="K13" s="6">
        <v>750</v>
      </c>
      <c r="L13" s="6" t="str">
        <f t="shared" si="0"/>
        <v>Prime</v>
      </c>
      <c r="M13" s="6">
        <v>0</v>
      </c>
      <c r="N13" s="6">
        <v>0</v>
      </c>
      <c r="O13" s="6" t="s">
        <v>40</v>
      </c>
      <c r="P13" s="8">
        <f t="shared" si="1"/>
        <v>9166.6666666666661</v>
      </c>
      <c r="Q13" s="9">
        <f t="shared" si="2"/>
        <v>7.3090909090909095E-2</v>
      </c>
      <c r="R13" s="9">
        <f t="shared" si="3"/>
        <v>0.25454545454545452</v>
      </c>
      <c r="S13" s="6">
        <f t="shared" si="4"/>
        <v>0</v>
      </c>
      <c r="T13" s="14">
        <f t="shared" si="5"/>
        <v>100</v>
      </c>
      <c r="U13" s="14">
        <f t="shared" si="6"/>
        <v>100</v>
      </c>
      <c r="V13" s="14">
        <f t="shared" si="7"/>
        <v>100</v>
      </c>
      <c r="W13" s="14">
        <f t="shared" si="8"/>
        <v>100</v>
      </c>
      <c r="X13" s="14">
        <f t="shared" si="9"/>
        <v>100</v>
      </c>
      <c r="Y13" s="15">
        <f t="shared" si="10"/>
        <v>100</v>
      </c>
      <c r="Z13" s="16" t="str">
        <f t="shared" si="13"/>
        <v>Low Risk</v>
      </c>
      <c r="AA13" s="14" t="str">
        <f t="shared" si="11"/>
        <v>None</v>
      </c>
      <c r="AB13" s="16" t="str">
        <f t="shared" si="12"/>
        <v>Approve</v>
      </c>
    </row>
    <row r="14" spans="1:31" x14ac:dyDescent="0.2">
      <c r="A14" s="6" t="s">
        <v>26</v>
      </c>
      <c r="B14" s="6">
        <v>29</v>
      </c>
      <c r="C14" s="6" t="s">
        <v>36</v>
      </c>
      <c r="D14" s="6">
        <v>3</v>
      </c>
      <c r="E14" s="6">
        <v>56000</v>
      </c>
      <c r="F14" s="6">
        <v>16000</v>
      </c>
      <c r="G14" s="6">
        <v>2200</v>
      </c>
      <c r="H14" s="6">
        <v>13000</v>
      </c>
      <c r="I14" s="6">
        <v>36</v>
      </c>
      <c r="J14" s="6" t="s">
        <v>38</v>
      </c>
      <c r="K14" s="6">
        <v>600</v>
      </c>
      <c r="L14" s="6" t="str">
        <f t="shared" si="0"/>
        <v>Subprime</v>
      </c>
      <c r="M14" s="6">
        <v>1</v>
      </c>
      <c r="N14" s="6">
        <v>3</v>
      </c>
      <c r="O14" s="6" t="s">
        <v>40</v>
      </c>
      <c r="P14" s="8">
        <f t="shared" si="1"/>
        <v>4666.666666666667</v>
      </c>
      <c r="Q14" s="9">
        <f t="shared" si="2"/>
        <v>0.47142857142857142</v>
      </c>
      <c r="R14" s="9">
        <f t="shared" si="3"/>
        <v>0.23214285714285715</v>
      </c>
      <c r="S14" s="6">
        <f t="shared" si="4"/>
        <v>3</v>
      </c>
      <c r="T14" s="14">
        <f t="shared" si="5"/>
        <v>50</v>
      </c>
      <c r="U14" s="14">
        <f t="shared" si="6"/>
        <v>60</v>
      </c>
      <c r="V14" s="14">
        <f t="shared" si="7"/>
        <v>60</v>
      </c>
      <c r="W14" s="14">
        <f t="shared" si="8"/>
        <v>50</v>
      </c>
      <c r="X14" s="14">
        <f t="shared" si="9"/>
        <v>30</v>
      </c>
      <c r="Y14" s="15">
        <f t="shared" si="10"/>
        <v>52</v>
      </c>
      <c r="Z14" s="17" t="str">
        <f t="shared" si="13"/>
        <v>High Risk</v>
      </c>
      <c r="AA14" s="14" t="str">
        <f t="shared" si="11"/>
        <v>High DTI Review</v>
      </c>
      <c r="AB14" s="19" t="str">
        <f t="shared" si="12"/>
        <v>Manual Review</v>
      </c>
    </row>
    <row r="15" spans="1:31" x14ac:dyDescent="0.2">
      <c r="A15" s="6" t="s">
        <v>27</v>
      </c>
      <c r="B15" s="6">
        <v>42</v>
      </c>
      <c r="C15" s="6" t="s">
        <v>34</v>
      </c>
      <c r="D15" s="6">
        <v>12</v>
      </c>
      <c r="E15" s="6">
        <v>90000</v>
      </c>
      <c r="F15" s="6">
        <v>29000</v>
      </c>
      <c r="G15" s="6">
        <v>690</v>
      </c>
      <c r="H15" s="6">
        <v>26000</v>
      </c>
      <c r="I15" s="6">
        <v>60</v>
      </c>
      <c r="J15" s="6" t="s">
        <v>37</v>
      </c>
      <c r="K15" s="6">
        <v>710</v>
      </c>
      <c r="L15" s="6" t="str">
        <f t="shared" si="0"/>
        <v>Near-Prime</v>
      </c>
      <c r="M15" s="6">
        <v>0</v>
      </c>
      <c r="N15" s="6">
        <v>1</v>
      </c>
      <c r="O15" s="6" t="s">
        <v>40</v>
      </c>
      <c r="P15" s="8">
        <f t="shared" si="1"/>
        <v>7500</v>
      </c>
      <c r="Q15" s="9">
        <f t="shared" si="2"/>
        <v>9.1999999999999998E-2</v>
      </c>
      <c r="R15" s="9">
        <f t="shared" si="3"/>
        <v>0.28888888888888886</v>
      </c>
      <c r="S15" s="6">
        <f t="shared" si="4"/>
        <v>0</v>
      </c>
      <c r="T15" s="14">
        <f t="shared" si="5"/>
        <v>85</v>
      </c>
      <c r="U15" s="14">
        <f t="shared" si="6"/>
        <v>100</v>
      </c>
      <c r="V15" s="14">
        <f t="shared" si="7"/>
        <v>100</v>
      </c>
      <c r="W15" s="14">
        <f t="shared" si="8"/>
        <v>100</v>
      </c>
      <c r="X15" s="14">
        <f t="shared" si="9"/>
        <v>70</v>
      </c>
      <c r="Y15" s="15">
        <f t="shared" si="10"/>
        <v>91.75</v>
      </c>
      <c r="Z15" s="16" t="str">
        <f t="shared" si="13"/>
        <v>Low Risk</v>
      </c>
      <c r="AA15" s="14" t="str">
        <f t="shared" si="11"/>
        <v>None</v>
      </c>
      <c r="AB15" s="16" t="str">
        <f t="shared" si="12"/>
        <v>Approve</v>
      </c>
    </row>
    <row r="16" spans="1:31" x14ac:dyDescent="0.2">
      <c r="A16" s="6" t="s">
        <v>28</v>
      </c>
      <c r="B16" s="6">
        <v>38</v>
      </c>
      <c r="C16" s="6" t="s">
        <v>34</v>
      </c>
      <c r="D16" s="6">
        <v>9</v>
      </c>
      <c r="E16" s="6">
        <v>78000</v>
      </c>
      <c r="F16" s="6">
        <v>26000</v>
      </c>
      <c r="G16" s="6">
        <v>630</v>
      </c>
      <c r="H16" s="6">
        <v>21000</v>
      </c>
      <c r="I16" s="6">
        <v>36</v>
      </c>
      <c r="J16" s="6" t="s">
        <v>38</v>
      </c>
      <c r="K16" s="6">
        <v>690</v>
      </c>
      <c r="L16" s="6" t="str">
        <f t="shared" si="0"/>
        <v>Subprime</v>
      </c>
      <c r="M16" s="6">
        <v>0</v>
      </c>
      <c r="N16" s="6">
        <v>2</v>
      </c>
      <c r="O16" s="6" t="s">
        <v>40</v>
      </c>
      <c r="P16" s="8">
        <f t="shared" si="1"/>
        <v>6500</v>
      </c>
      <c r="Q16" s="9">
        <f t="shared" si="2"/>
        <v>9.6923076923076917E-2</v>
      </c>
      <c r="R16" s="9">
        <f t="shared" si="3"/>
        <v>0.26923076923076922</v>
      </c>
      <c r="S16" s="6">
        <f t="shared" si="4"/>
        <v>0</v>
      </c>
      <c r="T16" s="14">
        <f t="shared" si="5"/>
        <v>70</v>
      </c>
      <c r="U16" s="14">
        <f t="shared" si="6"/>
        <v>100</v>
      </c>
      <c r="V16" s="14">
        <f t="shared" si="7"/>
        <v>80</v>
      </c>
      <c r="W16" s="14">
        <f t="shared" si="8"/>
        <v>100</v>
      </c>
      <c r="X16" s="14">
        <f t="shared" si="9"/>
        <v>70</v>
      </c>
      <c r="Y16" s="15">
        <f t="shared" si="10"/>
        <v>83.5</v>
      </c>
      <c r="Z16" s="16" t="str">
        <f t="shared" si="13"/>
        <v>Low Risk</v>
      </c>
      <c r="AA16" s="14" t="str">
        <f t="shared" si="11"/>
        <v>None</v>
      </c>
      <c r="AB16" s="16" t="str">
        <f t="shared" si="12"/>
        <v>Approve</v>
      </c>
    </row>
    <row r="17" spans="1:28" x14ac:dyDescent="0.2">
      <c r="A17" s="6" t="s">
        <v>29</v>
      </c>
      <c r="B17" s="6">
        <v>47</v>
      </c>
      <c r="C17" s="6" t="s">
        <v>34</v>
      </c>
      <c r="D17" s="6">
        <v>14</v>
      </c>
      <c r="E17" s="6">
        <v>102000</v>
      </c>
      <c r="F17" s="6">
        <v>31000</v>
      </c>
      <c r="G17" s="6">
        <v>2900</v>
      </c>
      <c r="H17" s="6">
        <v>29000</v>
      </c>
      <c r="I17" s="6">
        <v>60</v>
      </c>
      <c r="J17" s="6" t="s">
        <v>39</v>
      </c>
      <c r="K17" s="6">
        <v>730</v>
      </c>
      <c r="L17" s="6" t="str">
        <f t="shared" si="0"/>
        <v>Near-Prime</v>
      </c>
      <c r="M17" s="6">
        <v>0</v>
      </c>
      <c r="N17" s="6">
        <v>0</v>
      </c>
      <c r="O17" s="6" t="s">
        <v>40</v>
      </c>
      <c r="P17" s="8">
        <f t="shared" si="1"/>
        <v>8500</v>
      </c>
      <c r="Q17" s="9">
        <f t="shared" si="2"/>
        <v>0.3411764705882353</v>
      </c>
      <c r="R17" s="9">
        <f t="shared" si="3"/>
        <v>0.28431372549019607</v>
      </c>
      <c r="S17" s="6">
        <f t="shared" si="4"/>
        <v>0</v>
      </c>
      <c r="T17" s="14">
        <f t="shared" si="5"/>
        <v>85</v>
      </c>
      <c r="U17" s="14">
        <f t="shared" si="6"/>
        <v>80</v>
      </c>
      <c r="V17" s="14">
        <f t="shared" si="7"/>
        <v>100</v>
      </c>
      <c r="W17" s="14">
        <f t="shared" si="8"/>
        <v>100</v>
      </c>
      <c r="X17" s="14">
        <f t="shared" si="9"/>
        <v>100</v>
      </c>
      <c r="Y17" s="15">
        <f t="shared" si="10"/>
        <v>89.75</v>
      </c>
      <c r="Z17" s="16" t="str">
        <f t="shared" si="13"/>
        <v>Low Risk</v>
      </c>
      <c r="AA17" s="14" t="str">
        <f t="shared" si="11"/>
        <v>None</v>
      </c>
      <c r="AB17" s="16" t="str">
        <f t="shared" si="12"/>
        <v>Approve</v>
      </c>
    </row>
    <row r="18" spans="1:28" x14ac:dyDescent="0.2">
      <c r="A18" s="6" t="s">
        <v>30</v>
      </c>
      <c r="B18" s="6">
        <v>26</v>
      </c>
      <c r="C18" s="6" t="s">
        <v>36</v>
      </c>
      <c r="D18" s="6">
        <v>1</v>
      </c>
      <c r="E18" s="6">
        <v>45000</v>
      </c>
      <c r="F18" s="6">
        <v>14000</v>
      </c>
      <c r="G18" s="6">
        <v>1900</v>
      </c>
      <c r="H18" s="6">
        <v>10000</v>
      </c>
      <c r="I18" s="6">
        <v>36</v>
      </c>
      <c r="J18" s="6" t="s">
        <v>38</v>
      </c>
      <c r="K18" s="6">
        <v>580</v>
      </c>
      <c r="L18" s="6" t="str">
        <f t="shared" si="0"/>
        <v>Subprime</v>
      </c>
      <c r="M18" s="6">
        <v>2</v>
      </c>
      <c r="N18" s="6">
        <v>5</v>
      </c>
      <c r="O18" s="6" t="s">
        <v>41</v>
      </c>
      <c r="P18" s="8">
        <f t="shared" si="1"/>
        <v>3750</v>
      </c>
      <c r="Q18" s="9">
        <f t="shared" si="2"/>
        <v>0.50666666666666671</v>
      </c>
      <c r="R18" s="9">
        <f t="shared" si="3"/>
        <v>0.22222222222222221</v>
      </c>
      <c r="S18" s="6">
        <f t="shared" si="4"/>
        <v>4</v>
      </c>
      <c r="T18" s="14">
        <f t="shared" si="5"/>
        <v>30</v>
      </c>
      <c r="U18" s="14">
        <f t="shared" si="6"/>
        <v>30</v>
      </c>
      <c r="V18" s="14">
        <f t="shared" si="7"/>
        <v>30</v>
      </c>
      <c r="W18" s="14">
        <f t="shared" si="8"/>
        <v>20</v>
      </c>
      <c r="X18" s="14">
        <f t="shared" si="9"/>
        <v>30</v>
      </c>
      <c r="Y18" s="15">
        <f t="shared" si="10"/>
        <v>28.5</v>
      </c>
      <c r="Z18" s="18" t="str">
        <f t="shared" si="13"/>
        <v>Very High Risk</v>
      </c>
      <c r="AA18" s="14" t="str">
        <f t="shared" si="11"/>
        <v>Auto Decline</v>
      </c>
      <c r="AB18" s="18" t="str">
        <f t="shared" si="12"/>
        <v>Decline</v>
      </c>
    </row>
    <row r="19" spans="1:28" x14ac:dyDescent="0.2">
      <c r="A19" s="6" t="s">
        <v>31</v>
      </c>
      <c r="B19" s="6">
        <v>58</v>
      </c>
      <c r="C19" s="6" t="s">
        <v>35</v>
      </c>
      <c r="D19" s="6">
        <v>30</v>
      </c>
      <c r="E19" s="6">
        <v>130000</v>
      </c>
      <c r="F19" s="6">
        <v>33000</v>
      </c>
      <c r="G19" s="6">
        <v>760</v>
      </c>
      <c r="H19" s="6">
        <v>33000</v>
      </c>
      <c r="I19" s="6">
        <v>60</v>
      </c>
      <c r="J19" s="6" t="s">
        <v>37</v>
      </c>
      <c r="K19" s="6">
        <v>800</v>
      </c>
      <c r="L19" s="6" t="str">
        <f t="shared" si="0"/>
        <v>Prime</v>
      </c>
      <c r="M19" s="6">
        <v>0</v>
      </c>
      <c r="N19" s="6">
        <v>0</v>
      </c>
      <c r="O19" s="6" t="s">
        <v>40</v>
      </c>
      <c r="P19" s="8">
        <f t="shared" si="1"/>
        <v>10833.333333333334</v>
      </c>
      <c r="Q19" s="9">
        <f t="shared" si="2"/>
        <v>7.015384615384615E-2</v>
      </c>
      <c r="R19" s="9">
        <f t="shared" si="3"/>
        <v>0.25384615384615383</v>
      </c>
      <c r="S19" s="6">
        <f t="shared" si="4"/>
        <v>0</v>
      </c>
      <c r="T19" s="14">
        <f t="shared" si="5"/>
        <v>100</v>
      </c>
      <c r="U19" s="14">
        <f t="shared" si="6"/>
        <v>100</v>
      </c>
      <c r="V19" s="14">
        <f t="shared" si="7"/>
        <v>100</v>
      </c>
      <c r="W19" s="14">
        <f t="shared" si="8"/>
        <v>100</v>
      </c>
      <c r="X19" s="14">
        <f t="shared" si="9"/>
        <v>100</v>
      </c>
      <c r="Y19" s="15">
        <f t="shared" si="10"/>
        <v>100</v>
      </c>
      <c r="Z19" s="16" t="str">
        <f t="shared" si="13"/>
        <v>Low Risk</v>
      </c>
      <c r="AA19" s="14" t="str">
        <f t="shared" si="11"/>
        <v>None</v>
      </c>
      <c r="AB19" s="16" t="str">
        <f t="shared" si="12"/>
        <v>Approve</v>
      </c>
    </row>
    <row r="20" spans="1:28" x14ac:dyDescent="0.2">
      <c r="A20" s="6" t="s">
        <v>32</v>
      </c>
      <c r="B20" s="6">
        <v>35</v>
      </c>
      <c r="C20" s="6" t="s">
        <v>34</v>
      </c>
      <c r="D20" s="6">
        <v>6</v>
      </c>
      <c r="E20" s="6">
        <v>70000</v>
      </c>
      <c r="F20" s="6">
        <v>25000</v>
      </c>
      <c r="G20" s="6">
        <v>600</v>
      </c>
      <c r="H20" s="6">
        <v>23000</v>
      </c>
      <c r="I20" s="6">
        <v>36</v>
      </c>
      <c r="J20" s="6" t="s">
        <v>39</v>
      </c>
      <c r="K20" s="6">
        <v>670</v>
      </c>
      <c r="L20" s="6" t="str">
        <f t="shared" si="0"/>
        <v>Subprime</v>
      </c>
      <c r="M20" s="6">
        <v>0</v>
      </c>
      <c r="N20" s="6">
        <v>1</v>
      </c>
      <c r="O20" s="6" t="s">
        <v>40</v>
      </c>
      <c r="P20" s="8">
        <f t="shared" si="1"/>
        <v>5833.333333333333</v>
      </c>
      <c r="Q20" s="9">
        <f t="shared" si="2"/>
        <v>0.10285714285714287</v>
      </c>
      <c r="R20" s="9">
        <f t="shared" si="3"/>
        <v>0.32857142857142857</v>
      </c>
      <c r="S20" s="6">
        <f t="shared" si="4"/>
        <v>0</v>
      </c>
      <c r="T20" s="14">
        <f t="shared" si="5"/>
        <v>70</v>
      </c>
      <c r="U20" s="14">
        <f t="shared" si="6"/>
        <v>100</v>
      </c>
      <c r="V20" s="14">
        <f t="shared" si="7"/>
        <v>80</v>
      </c>
      <c r="W20" s="14">
        <f t="shared" si="8"/>
        <v>100</v>
      </c>
      <c r="X20" s="14">
        <f t="shared" si="9"/>
        <v>70</v>
      </c>
      <c r="Y20" s="15">
        <f t="shared" si="10"/>
        <v>83.5</v>
      </c>
      <c r="Z20" s="16" t="str">
        <f t="shared" si="13"/>
        <v>Low Risk</v>
      </c>
      <c r="AA20" s="14" t="str">
        <f t="shared" si="11"/>
        <v>None</v>
      </c>
      <c r="AB20" s="16" t="str">
        <f t="shared" si="12"/>
        <v>Approve</v>
      </c>
    </row>
    <row r="21" spans="1:28" x14ac:dyDescent="0.2">
      <c r="A21" s="6" t="s">
        <v>33</v>
      </c>
      <c r="B21" s="6">
        <v>44</v>
      </c>
      <c r="C21" s="6" t="s">
        <v>34</v>
      </c>
      <c r="D21" s="6">
        <v>16</v>
      </c>
      <c r="E21" s="6">
        <v>92000</v>
      </c>
      <c r="F21" s="6">
        <v>30000</v>
      </c>
      <c r="G21" s="6">
        <v>710</v>
      </c>
      <c r="H21" s="6">
        <v>27000</v>
      </c>
      <c r="I21" s="6">
        <v>60</v>
      </c>
      <c r="J21" s="6" t="s">
        <v>38</v>
      </c>
      <c r="K21" s="6">
        <v>740</v>
      </c>
      <c r="L21" s="6" t="str">
        <f t="shared" si="0"/>
        <v>Near-Prime</v>
      </c>
      <c r="M21" s="6">
        <v>0</v>
      </c>
      <c r="N21" s="6">
        <v>0</v>
      </c>
      <c r="O21" s="6" t="s">
        <v>40</v>
      </c>
      <c r="P21" s="8">
        <f t="shared" si="1"/>
        <v>7666.666666666667</v>
      </c>
      <c r="Q21" s="9">
        <f t="shared" si="2"/>
        <v>9.2608695652173903E-2</v>
      </c>
      <c r="R21" s="9">
        <f t="shared" si="3"/>
        <v>0.29347826086956524</v>
      </c>
      <c r="S21" s="6">
        <f t="shared" si="4"/>
        <v>0</v>
      </c>
      <c r="T21" s="14">
        <f t="shared" si="5"/>
        <v>85</v>
      </c>
      <c r="U21" s="14">
        <f t="shared" si="6"/>
        <v>100</v>
      </c>
      <c r="V21" s="14">
        <f t="shared" si="7"/>
        <v>100</v>
      </c>
      <c r="W21" s="14">
        <f t="shared" si="8"/>
        <v>100</v>
      </c>
      <c r="X21" s="14">
        <f t="shared" si="9"/>
        <v>100</v>
      </c>
      <c r="Y21" s="15">
        <f t="shared" si="10"/>
        <v>94.75</v>
      </c>
      <c r="Z21" s="16" t="str">
        <f t="shared" si="13"/>
        <v>Low Risk</v>
      </c>
      <c r="AA21" s="14" t="str">
        <f t="shared" si="11"/>
        <v>None</v>
      </c>
      <c r="AB21" s="16" t="str">
        <f t="shared" si="12"/>
        <v>Approve</v>
      </c>
    </row>
    <row r="25" spans="1:28" x14ac:dyDescent="0.2">
      <c r="A25" s="43" t="s">
        <v>101</v>
      </c>
      <c r="B25" s="43"/>
      <c r="C25" s="43"/>
    </row>
    <row r="27" spans="1:28" x14ac:dyDescent="0.2">
      <c r="A27" s="44" t="s">
        <v>102</v>
      </c>
      <c r="B27" s="44"/>
      <c r="C27" s="44"/>
    </row>
    <row r="28" spans="1:28" x14ac:dyDescent="0.2">
      <c r="A28" s="42" t="s">
        <v>103</v>
      </c>
      <c r="B28" s="42"/>
      <c r="C28" s="42"/>
      <c r="D28" s="42"/>
    </row>
    <row r="29" spans="1:28" x14ac:dyDescent="0.2">
      <c r="A29" s="42"/>
      <c r="B29" s="42"/>
      <c r="C29" s="42"/>
      <c r="D29" s="42"/>
    </row>
    <row r="31" spans="1:28" x14ac:dyDescent="0.2">
      <c r="A31" s="43" t="s">
        <v>104</v>
      </c>
      <c r="B31" s="43"/>
      <c r="C31" s="43"/>
    </row>
    <row r="32" spans="1:28" x14ac:dyDescent="0.2">
      <c r="A32" s="41" t="s">
        <v>109</v>
      </c>
      <c r="B32" s="41"/>
      <c r="C32" s="41"/>
      <c r="D32" s="41"/>
    </row>
    <row r="33" spans="1:4" x14ac:dyDescent="0.2">
      <c r="A33" s="41" t="s">
        <v>110</v>
      </c>
      <c r="B33" s="41"/>
      <c r="C33" s="41"/>
      <c r="D33" s="41"/>
    </row>
    <row r="34" spans="1:4" x14ac:dyDescent="0.2">
      <c r="A34" s="41" t="s">
        <v>111</v>
      </c>
      <c r="B34" s="41"/>
      <c r="C34" s="41"/>
      <c r="D34" s="41"/>
    </row>
    <row r="36" spans="1:4" x14ac:dyDescent="0.2">
      <c r="A36" s="41" t="s">
        <v>107</v>
      </c>
      <c r="B36" s="41"/>
    </row>
    <row r="37" spans="1:4" x14ac:dyDescent="0.2">
      <c r="A37" s="41" t="s">
        <v>47</v>
      </c>
      <c r="B37" s="41"/>
    </row>
    <row r="38" spans="1:4" x14ac:dyDescent="0.2">
      <c r="A38" s="41" t="s">
        <v>48</v>
      </c>
      <c r="B38" s="41"/>
    </row>
    <row r="39" spans="1:4" x14ac:dyDescent="0.2">
      <c r="A39" s="41" t="s">
        <v>49</v>
      </c>
      <c r="B39" s="41"/>
    </row>
    <row r="41" spans="1:4" x14ac:dyDescent="0.2">
      <c r="A41" s="41" t="s">
        <v>108</v>
      </c>
      <c r="B41" s="41"/>
    </row>
    <row r="42" spans="1:4" x14ac:dyDescent="0.2">
      <c r="A42" s="41" t="s">
        <v>112</v>
      </c>
      <c r="B42" s="41"/>
    </row>
    <row r="43" spans="1:4" x14ac:dyDescent="0.2">
      <c r="A43" s="41" t="s">
        <v>113</v>
      </c>
      <c r="B43" s="41"/>
    </row>
    <row r="44" spans="1:4" x14ac:dyDescent="0.2">
      <c r="A44" s="41" t="s">
        <v>114</v>
      </c>
      <c r="B44" s="41"/>
    </row>
    <row r="45" spans="1:4" x14ac:dyDescent="0.2">
      <c r="A45" s="42" t="s">
        <v>115</v>
      </c>
      <c r="B45" s="42"/>
    </row>
    <row r="47" spans="1:4" x14ac:dyDescent="0.2">
      <c r="A47" s="43" t="s">
        <v>105</v>
      </c>
      <c r="B47" s="43"/>
      <c r="C47" s="43"/>
    </row>
    <row r="48" spans="1:4" x14ac:dyDescent="0.2">
      <c r="A48" s="42" t="s">
        <v>106</v>
      </c>
      <c r="B48" s="42"/>
      <c r="C48" s="42"/>
      <c r="D48" s="42"/>
    </row>
    <row r="49" spans="1:4" x14ac:dyDescent="0.2">
      <c r="A49" s="42"/>
      <c r="B49" s="42"/>
      <c r="C49" s="42"/>
      <c r="D49" s="42"/>
    </row>
  </sheetData>
  <mergeCells count="18">
    <mergeCell ref="A38:B38"/>
    <mergeCell ref="A25:C25"/>
    <mergeCell ref="A27:C27"/>
    <mergeCell ref="A31:C31"/>
    <mergeCell ref="A47:C47"/>
    <mergeCell ref="A28:D29"/>
    <mergeCell ref="A32:D32"/>
    <mergeCell ref="A33:D33"/>
    <mergeCell ref="A34:D34"/>
    <mergeCell ref="A36:B36"/>
    <mergeCell ref="A37:B37"/>
    <mergeCell ref="A48:D49"/>
    <mergeCell ref="A39:B39"/>
    <mergeCell ref="A41:B41"/>
    <mergeCell ref="A42:B42"/>
    <mergeCell ref="A43:B43"/>
    <mergeCell ref="A44:B44"/>
    <mergeCell ref="A45:B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120D-0AD2-DA47-A438-5A4A517BDA66}">
  <dimension ref="A1:H31"/>
  <sheetViews>
    <sheetView showGridLines="0" zoomScale="140" zoomScaleNormal="140" workbookViewId="0">
      <selection activeCell="D25" sqref="D25"/>
    </sheetView>
  </sheetViews>
  <sheetFormatPr baseColWidth="10" defaultRowHeight="16" x14ac:dyDescent="0.2"/>
  <cols>
    <col min="1" max="1" width="18.33203125" bestFit="1" customWidth="1"/>
    <col min="2" max="2" width="7.5" bestFit="1" customWidth="1"/>
    <col min="3" max="3" width="6" bestFit="1" customWidth="1"/>
    <col min="4" max="4" width="7" style="10" bestFit="1" customWidth="1"/>
    <col min="5" max="5" width="14.83203125" bestFit="1" customWidth="1"/>
    <col min="7" max="7" width="18.6640625" bestFit="1" customWidth="1"/>
    <col min="8" max="8" width="6" bestFit="1" customWidth="1"/>
  </cols>
  <sheetData>
    <row r="1" spans="1:8" x14ac:dyDescent="0.2">
      <c r="A1" s="24" t="s">
        <v>116</v>
      </c>
    </row>
    <row r="4" spans="1:8" x14ac:dyDescent="0.2">
      <c r="A4" s="2" t="s">
        <v>50</v>
      </c>
      <c r="B4" s="2" t="s">
        <v>51</v>
      </c>
      <c r="C4" s="2" t="s">
        <v>52</v>
      </c>
      <c r="D4" s="27" t="s">
        <v>53</v>
      </c>
      <c r="E4" s="2" t="s">
        <v>54</v>
      </c>
      <c r="G4" s="2" t="s">
        <v>60</v>
      </c>
      <c r="H4" s="2" t="s">
        <v>52</v>
      </c>
    </row>
    <row r="5" spans="1:8" x14ac:dyDescent="0.2">
      <c r="A5" s="28" t="s">
        <v>55</v>
      </c>
      <c r="B5" s="28">
        <f>Cleaned_Data!K2</f>
        <v>720</v>
      </c>
      <c r="C5" s="28">
        <v>85</v>
      </c>
      <c r="D5" s="29">
        <v>0.35</v>
      </c>
      <c r="E5" s="28">
        <f>C5*D5</f>
        <v>29.749999999999996</v>
      </c>
      <c r="G5" s="6" t="s">
        <v>61</v>
      </c>
      <c r="H5" s="6">
        <v>100</v>
      </c>
    </row>
    <row r="6" spans="1:8" x14ac:dyDescent="0.2">
      <c r="A6" s="28" t="s">
        <v>56</v>
      </c>
      <c r="B6" s="30">
        <f>Cleaned_Data!Q2</f>
        <v>0.13384615384615386</v>
      </c>
      <c r="C6" s="28">
        <v>100</v>
      </c>
      <c r="D6" s="29">
        <v>0.25</v>
      </c>
      <c r="E6" s="28">
        <f t="shared" ref="E6:E9" si="0">C6*D6</f>
        <v>25</v>
      </c>
      <c r="G6" s="6" t="s">
        <v>62</v>
      </c>
      <c r="H6" s="6">
        <v>85</v>
      </c>
    </row>
    <row r="7" spans="1:8" x14ac:dyDescent="0.2">
      <c r="A7" s="28" t="s">
        <v>57</v>
      </c>
      <c r="B7" s="28">
        <f>Cleaned_Data!D2</f>
        <v>3</v>
      </c>
      <c r="C7" s="28">
        <v>60</v>
      </c>
      <c r="D7" s="29">
        <v>0.15</v>
      </c>
      <c r="E7" s="28">
        <f t="shared" si="0"/>
        <v>9</v>
      </c>
      <c r="G7" s="6" t="s">
        <v>63</v>
      </c>
      <c r="H7" s="6">
        <v>70</v>
      </c>
    </row>
    <row r="8" spans="1:8" x14ac:dyDescent="0.2">
      <c r="A8" s="28" t="s">
        <v>58</v>
      </c>
      <c r="B8" s="28">
        <f>Cleaned_Data!M2</f>
        <v>0</v>
      </c>
      <c r="C8" s="28">
        <v>100</v>
      </c>
      <c r="D8" s="29">
        <v>0.15</v>
      </c>
      <c r="E8" s="28">
        <f t="shared" si="0"/>
        <v>15</v>
      </c>
      <c r="G8" s="6" t="s">
        <v>64</v>
      </c>
      <c r="H8" s="6">
        <v>50</v>
      </c>
    </row>
    <row r="9" spans="1:8" x14ac:dyDescent="0.2">
      <c r="A9" s="33" t="s">
        <v>59</v>
      </c>
      <c r="B9" s="33">
        <f>Cleaned_Data!N2</f>
        <v>1</v>
      </c>
      <c r="C9" s="33">
        <v>70</v>
      </c>
      <c r="D9" s="34">
        <v>0.1</v>
      </c>
      <c r="E9" s="33">
        <f t="shared" si="0"/>
        <v>7</v>
      </c>
      <c r="G9" s="6" t="s">
        <v>65</v>
      </c>
      <c r="H9" s="6">
        <v>30</v>
      </c>
    </row>
    <row r="10" spans="1:8" x14ac:dyDescent="0.2">
      <c r="A10" s="35"/>
      <c r="B10" s="35"/>
      <c r="C10" s="35"/>
      <c r="D10" s="36"/>
      <c r="E10" s="37" t="s">
        <v>80</v>
      </c>
    </row>
    <row r="11" spans="1:8" x14ac:dyDescent="0.2">
      <c r="A11" s="11"/>
      <c r="B11" s="11"/>
      <c r="C11" s="11"/>
      <c r="D11" s="12"/>
      <c r="E11" s="11">
        <f>SUM(E5:E9)</f>
        <v>85.75</v>
      </c>
      <c r="G11" s="2" t="s">
        <v>66</v>
      </c>
      <c r="H11" s="2" t="s">
        <v>52</v>
      </c>
    </row>
    <row r="12" spans="1:8" x14ac:dyDescent="0.2">
      <c r="A12" s="11"/>
      <c r="B12" s="11"/>
      <c r="C12" s="11"/>
      <c r="D12" s="12"/>
      <c r="E12" s="11"/>
      <c r="G12" s="6" t="s">
        <v>67</v>
      </c>
      <c r="H12" s="6">
        <v>100</v>
      </c>
    </row>
    <row r="13" spans="1:8" x14ac:dyDescent="0.2">
      <c r="A13" s="11"/>
      <c r="B13" s="11"/>
      <c r="C13" s="11"/>
      <c r="D13" s="12"/>
      <c r="E13" s="11"/>
      <c r="G13" s="6" t="s">
        <v>68</v>
      </c>
      <c r="H13" s="6">
        <v>80</v>
      </c>
    </row>
    <row r="14" spans="1:8" x14ac:dyDescent="0.2">
      <c r="A14" s="11"/>
      <c r="B14" s="11"/>
      <c r="C14" s="11"/>
      <c r="D14" s="12"/>
      <c r="E14" s="11"/>
      <c r="G14" s="6" t="s">
        <v>69</v>
      </c>
      <c r="H14" s="6">
        <v>60</v>
      </c>
    </row>
    <row r="15" spans="1:8" x14ac:dyDescent="0.2">
      <c r="A15" s="11"/>
      <c r="B15" s="11"/>
      <c r="C15" s="11"/>
      <c r="D15" s="12"/>
      <c r="E15" s="11"/>
      <c r="G15" s="6" t="s">
        <v>70</v>
      </c>
      <c r="H15" s="6">
        <v>30</v>
      </c>
    </row>
    <row r="16" spans="1:8" x14ac:dyDescent="0.2">
      <c r="A16" s="11"/>
      <c r="B16" s="11"/>
      <c r="C16" s="11"/>
      <c r="D16" s="12"/>
      <c r="E16" s="11"/>
    </row>
    <row r="17" spans="1:8" x14ac:dyDescent="0.2">
      <c r="A17" s="11"/>
      <c r="B17" s="11"/>
      <c r="C17" s="11"/>
      <c r="D17" s="12"/>
      <c r="E17" s="11"/>
      <c r="G17" s="2" t="s">
        <v>71</v>
      </c>
      <c r="H17" s="2" t="s">
        <v>52</v>
      </c>
    </row>
    <row r="18" spans="1:8" x14ac:dyDescent="0.2">
      <c r="A18" s="11"/>
      <c r="B18" s="11"/>
      <c r="C18" s="11"/>
      <c r="D18" s="12"/>
      <c r="E18" s="11"/>
      <c r="G18" s="6" t="s">
        <v>72</v>
      </c>
      <c r="H18" s="6">
        <v>100</v>
      </c>
    </row>
    <row r="19" spans="1:8" x14ac:dyDescent="0.2">
      <c r="A19" s="11"/>
      <c r="B19" s="11"/>
      <c r="C19" s="11"/>
      <c r="D19" s="12"/>
      <c r="E19" s="11"/>
      <c r="G19" s="6" t="s">
        <v>73</v>
      </c>
      <c r="H19" s="6">
        <v>80</v>
      </c>
    </row>
    <row r="20" spans="1:8" x14ac:dyDescent="0.2">
      <c r="A20" s="11"/>
      <c r="B20" s="11"/>
      <c r="C20" s="11"/>
      <c r="D20" s="12"/>
      <c r="E20" s="11"/>
      <c r="G20" s="6" t="s">
        <v>74</v>
      </c>
      <c r="H20" s="6">
        <v>60</v>
      </c>
    </row>
    <row r="21" spans="1:8" x14ac:dyDescent="0.2">
      <c r="A21" s="11"/>
      <c r="B21" s="11"/>
      <c r="C21" s="11"/>
      <c r="D21" s="12"/>
      <c r="E21" s="11"/>
      <c r="G21" s="6" t="s">
        <v>75</v>
      </c>
      <c r="H21" s="6">
        <v>30</v>
      </c>
    </row>
    <row r="22" spans="1:8" x14ac:dyDescent="0.2">
      <c r="A22" s="11"/>
      <c r="B22" s="11"/>
      <c r="C22" s="11"/>
      <c r="D22" s="12"/>
      <c r="E22" s="11"/>
    </row>
    <row r="23" spans="1:8" x14ac:dyDescent="0.2">
      <c r="A23" s="11"/>
      <c r="B23" s="11"/>
      <c r="C23" s="11"/>
      <c r="D23" s="12"/>
      <c r="E23" s="11"/>
      <c r="G23" s="2" t="s">
        <v>58</v>
      </c>
      <c r="H23" s="2" t="s">
        <v>52</v>
      </c>
    </row>
    <row r="24" spans="1:8" x14ac:dyDescent="0.2">
      <c r="A24" s="11"/>
      <c r="B24" s="11"/>
      <c r="C24" s="11"/>
      <c r="D24" s="12"/>
      <c r="E24" s="11"/>
      <c r="G24" s="31">
        <v>0</v>
      </c>
      <c r="H24" s="6">
        <v>100</v>
      </c>
    </row>
    <row r="25" spans="1:8" x14ac:dyDescent="0.2">
      <c r="A25" s="11"/>
      <c r="B25" s="11"/>
      <c r="C25" s="11"/>
      <c r="D25" s="12"/>
      <c r="E25" s="11"/>
      <c r="G25" s="31">
        <v>1</v>
      </c>
      <c r="H25" s="6">
        <v>50</v>
      </c>
    </row>
    <row r="26" spans="1:8" x14ac:dyDescent="0.2">
      <c r="A26" s="11"/>
      <c r="B26" s="11"/>
      <c r="C26" s="11"/>
      <c r="D26" s="12"/>
      <c r="E26" s="11"/>
      <c r="G26" s="31" t="s">
        <v>76</v>
      </c>
      <c r="H26" s="6">
        <v>20</v>
      </c>
    </row>
    <row r="27" spans="1:8" x14ac:dyDescent="0.2">
      <c r="A27" s="11"/>
      <c r="B27" s="11"/>
      <c r="C27" s="11"/>
      <c r="D27" s="12"/>
      <c r="E27" s="11"/>
    </row>
    <row r="28" spans="1:8" x14ac:dyDescent="0.2">
      <c r="A28" s="11"/>
      <c r="B28" s="11"/>
      <c r="C28" s="11"/>
      <c r="D28" s="12"/>
      <c r="E28" s="11"/>
      <c r="G28" s="2" t="s">
        <v>77</v>
      </c>
      <c r="H28" s="2" t="s">
        <v>52</v>
      </c>
    </row>
    <row r="29" spans="1:8" x14ac:dyDescent="0.2">
      <c r="A29" s="11"/>
      <c r="B29" s="11"/>
      <c r="C29" s="11"/>
      <c r="D29" s="12"/>
      <c r="E29" s="11"/>
      <c r="G29" s="31">
        <v>0</v>
      </c>
      <c r="H29" s="6">
        <v>100</v>
      </c>
    </row>
    <row r="30" spans="1:8" x14ac:dyDescent="0.2">
      <c r="A30" s="11"/>
      <c r="B30" s="11"/>
      <c r="C30" s="11"/>
      <c r="D30" s="12"/>
      <c r="E30" s="11"/>
      <c r="G30" s="32" t="s">
        <v>79</v>
      </c>
      <c r="H30" s="6">
        <v>70</v>
      </c>
    </row>
    <row r="31" spans="1:8" x14ac:dyDescent="0.2">
      <c r="A31" s="11"/>
      <c r="B31" s="11"/>
      <c r="C31" s="11"/>
      <c r="D31" s="12"/>
      <c r="E31" s="11"/>
      <c r="G31" s="6" t="s">
        <v>78</v>
      </c>
      <c r="H31" s="6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12E4-CF29-954E-B6FF-83212AC6D010}">
  <dimension ref="A1:H32"/>
  <sheetViews>
    <sheetView showGridLines="0" zoomScale="140" zoomScaleNormal="140" workbookViewId="0">
      <selection activeCell="E24" sqref="E24"/>
    </sheetView>
  </sheetViews>
  <sheetFormatPr baseColWidth="10" defaultRowHeight="16" x14ac:dyDescent="0.2"/>
  <cols>
    <col min="1" max="1" width="18.33203125" bestFit="1" customWidth="1"/>
    <col min="2" max="2" width="21.1640625" bestFit="1" customWidth="1"/>
    <col min="3" max="3" width="6" bestFit="1" customWidth="1"/>
    <col min="4" max="4" width="15.5" style="10" bestFit="1" customWidth="1"/>
    <col min="5" max="5" width="17.5" bestFit="1" customWidth="1"/>
    <col min="7" max="7" width="18.6640625" bestFit="1" customWidth="1"/>
    <col min="8" max="8" width="6" bestFit="1" customWidth="1"/>
  </cols>
  <sheetData>
    <row r="1" spans="1:8" x14ac:dyDescent="0.2">
      <c r="A1" s="24" t="s">
        <v>117</v>
      </c>
    </row>
    <row r="5" spans="1:8" x14ac:dyDescent="0.2">
      <c r="A5" s="2" t="s">
        <v>50</v>
      </c>
      <c r="B5" s="2" t="s">
        <v>51</v>
      </c>
      <c r="C5" s="2" t="s">
        <v>52</v>
      </c>
      <c r="D5" s="27" t="s">
        <v>53</v>
      </c>
      <c r="E5" s="2" t="s">
        <v>54</v>
      </c>
      <c r="G5" s="2" t="s">
        <v>60</v>
      </c>
      <c r="H5" s="2" t="s">
        <v>52</v>
      </c>
    </row>
    <row r="6" spans="1:8" x14ac:dyDescent="0.2">
      <c r="A6" s="28" t="s">
        <v>55</v>
      </c>
      <c r="B6" s="28" cm="1">
        <f t="array" ref="B6">INDEX(Cleaned_Data!K:K,$B$14)</f>
        <v>720</v>
      </c>
      <c r="C6" s="28">
        <f>IF(B6&gt;=750,100,IF(B6&gt;=700,85,IF(B6&gt;=650,70,IF(B6&gt;=600,50,30))))</f>
        <v>85</v>
      </c>
      <c r="D6" s="29">
        <v>0.35</v>
      </c>
      <c r="E6" s="28">
        <f>C6*D6</f>
        <v>29.749999999999996</v>
      </c>
      <c r="G6" s="6" t="s">
        <v>61</v>
      </c>
      <c r="H6" s="6">
        <v>100</v>
      </c>
    </row>
    <row r="7" spans="1:8" x14ac:dyDescent="0.2">
      <c r="A7" s="28" t="s">
        <v>56</v>
      </c>
      <c r="B7" s="30" cm="1">
        <f t="array" ref="B7">INDEX(Cleaned_Data!Q:Q,$B$14)</f>
        <v>0.13384615384615386</v>
      </c>
      <c r="C7" s="28">
        <f>IF(B7&lt;=0.2,100,IF(B7&lt;=0.35,80,IF(B7&lt;=0.5,60,30)))</f>
        <v>100</v>
      </c>
      <c r="D7" s="29">
        <v>0.25</v>
      </c>
      <c r="E7" s="28">
        <f t="shared" ref="E7:E10" si="0">C7*D7</f>
        <v>25</v>
      </c>
      <c r="G7" s="6" t="s">
        <v>62</v>
      </c>
      <c r="H7" s="6">
        <v>85</v>
      </c>
    </row>
    <row r="8" spans="1:8" x14ac:dyDescent="0.2">
      <c r="A8" s="28" t="s">
        <v>57</v>
      </c>
      <c r="B8" s="28" cm="1">
        <f t="array" ref="B8">INDEX(Cleaned_Data!D:D,$B$14)</f>
        <v>3</v>
      </c>
      <c r="C8" s="28">
        <f>IF(B8&gt;=10,100,IF(B8&gt;=5,80,IF(B8&gt;=2,60,30)))</f>
        <v>60</v>
      </c>
      <c r="D8" s="29">
        <v>0.15</v>
      </c>
      <c r="E8" s="28">
        <f t="shared" si="0"/>
        <v>9</v>
      </c>
      <c r="G8" s="6" t="s">
        <v>63</v>
      </c>
      <c r="H8" s="6">
        <v>70</v>
      </c>
    </row>
    <row r="9" spans="1:8" x14ac:dyDescent="0.2">
      <c r="A9" s="28" t="s">
        <v>58</v>
      </c>
      <c r="B9" s="28" cm="1">
        <f t="array" ref="B9">INDEX(Cleaned_Data!M:M,$B$14)</f>
        <v>0</v>
      </c>
      <c r="C9" s="28">
        <f>IF(B9=0,100,IF(B9=1,50,20))</f>
        <v>100</v>
      </c>
      <c r="D9" s="29">
        <v>0.15</v>
      </c>
      <c r="E9" s="28">
        <f t="shared" si="0"/>
        <v>15</v>
      </c>
      <c r="G9" s="6" t="s">
        <v>64</v>
      </c>
      <c r="H9" s="6">
        <v>50</v>
      </c>
    </row>
    <row r="10" spans="1:8" x14ac:dyDescent="0.2">
      <c r="A10" s="28" t="s">
        <v>59</v>
      </c>
      <c r="B10" s="28" cm="1">
        <f t="array" ref="B10">INDEX(Cleaned_Data!N:N,$B$14)</f>
        <v>1</v>
      </c>
      <c r="C10" s="28">
        <f>IF(B10=0,100,IF(B10&lt;=2,70,30))</f>
        <v>70</v>
      </c>
      <c r="D10" s="29">
        <v>0.1</v>
      </c>
      <c r="E10" s="28">
        <f t="shared" si="0"/>
        <v>7</v>
      </c>
      <c r="G10" s="6" t="s">
        <v>65</v>
      </c>
      <c r="H10" s="6">
        <v>30</v>
      </c>
    </row>
    <row r="11" spans="1:8" x14ac:dyDescent="0.2">
      <c r="A11" s="11"/>
      <c r="B11" s="11"/>
      <c r="C11" s="11"/>
      <c r="D11" s="12"/>
      <c r="E11" s="1" t="s">
        <v>80</v>
      </c>
    </row>
    <row r="12" spans="1:8" x14ac:dyDescent="0.2">
      <c r="A12" s="11"/>
      <c r="B12" s="11"/>
      <c r="C12" s="11"/>
      <c r="D12" s="12"/>
      <c r="E12" s="11">
        <f>SUM(E6:E10)</f>
        <v>85.75</v>
      </c>
      <c r="G12" s="2" t="s">
        <v>66</v>
      </c>
      <c r="H12" s="2" t="s">
        <v>52</v>
      </c>
    </row>
    <row r="13" spans="1:8" x14ac:dyDescent="0.2">
      <c r="C13" s="11"/>
      <c r="D13" s="12"/>
      <c r="E13" s="11"/>
      <c r="G13" s="6" t="s">
        <v>67</v>
      </c>
      <c r="H13" s="6">
        <v>100</v>
      </c>
    </row>
    <row r="14" spans="1:8" x14ac:dyDescent="0.2">
      <c r="A14" s="25" t="s">
        <v>86</v>
      </c>
      <c r="B14" s="26">
        <v>2</v>
      </c>
      <c r="C14" s="11"/>
      <c r="D14" s="38" t="s">
        <v>81</v>
      </c>
      <c r="E14" s="39" t="str">
        <f>IF(E12&gt;=80,"Low Risk",IF(E12&gt;=65,"Medium Risk",IF(E12&gt;=50,"High Risk","Very High Risk")))</f>
        <v>Low Risk</v>
      </c>
      <c r="G14" s="6" t="s">
        <v>68</v>
      </c>
      <c r="H14" s="6">
        <v>80</v>
      </c>
    </row>
    <row r="15" spans="1:8" x14ac:dyDescent="0.2">
      <c r="A15" s="11"/>
      <c r="B15" s="11"/>
      <c r="C15" s="11"/>
      <c r="D15" s="38" t="s">
        <v>82</v>
      </c>
      <c r="E15" s="40" t="str">
        <f>IF(E14="Low Risk","Approve",IF(E14="Medium Risk","Manual Review",IF(E14="High Risk","Conditional Review","Decline")))</f>
        <v>Approve</v>
      </c>
      <c r="G15" s="6" t="s">
        <v>69</v>
      </c>
      <c r="H15" s="6">
        <v>60</v>
      </c>
    </row>
    <row r="16" spans="1:8" x14ac:dyDescent="0.2">
      <c r="A16" s="11"/>
      <c r="B16" s="11"/>
      <c r="C16" s="11"/>
      <c r="D16" s="12"/>
      <c r="E16" s="11"/>
      <c r="G16" s="6" t="s">
        <v>70</v>
      </c>
      <c r="H16" s="6">
        <v>30</v>
      </c>
    </row>
    <row r="17" spans="1:8" x14ac:dyDescent="0.2">
      <c r="A17" s="11"/>
      <c r="B17" s="11"/>
      <c r="C17" s="11"/>
      <c r="D17" s="12"/>
      <c r="E17" s="11"/>
    </row>
    <row r="18" spans="1:8" x14ac:dyDescent="0.2">
      <c r="A18" s="11"/>
      <c r="B18" s="11"/>
      <c r="C18" s="11"/>
      <c r="D18" s="12"/>
      <c r="E18" s="11"/>
      <c r="G18" s="2" t="s">
        <v>71</v>
      </c>
      <c r="H18" s="2" t="s">
        <v>52</v>
      </c>
    </row>
    <row r="19" spans="1:8" x14ac:dyDescent="0.2">
      <c r="A19" s="11"/>
      <c r="B19" s="11"/>
      <c r="C19" s="11"/>
      <c r="D19" s="12"/>
      <c r="E19" s="11"/>
      <c r="G19" s="6" t="s">
        <v>72</v>
      </c>
      <c r="H19" s="6">
        <v>100</v>
      </c>
    </row>
    <row r="20" spans="1:8" x14ac:dyDescent="0.2">
      <c r="A20" s="11"/>
      <c r="B20" s="11"/>
      <c r="C20" s="11"/>
      <c r="D20" s="12"/>
      <c r="E20" s="11"/>
      <c r="G20" s="6" t="s">
        <v>73</v>
      </c>
      <c r="H20" s="6">
        <v>80</v>
      </c>
    </row>
    <row r="21" spans="1:8" x14ac:dyDescent="0.2">
      <c r="A21" s="11"/>
      <c r="B21" s="11"/>
      <c r="C21" s="11"/>
      <c r="D21" s="12"/>
      <c r="E21" s="11"/>
      <c r="G21" s="6" t="s">
        <v>74</v>
      </c>
      <c r="H21" s="6">
        <v>60</v>
      </c>
    </row>
    <row r="22" spans="1:8" x14ac:dyDescent="0.2">
      <c r="A22" s="11"/>
      <c r="B22" s="11"/>
      <c r="C22" s="11"/>
      <c r="D22" s="12"/>
      <c r="E22" s="11"/>
      <c r="G22" s="6" t="s">
        <v>75</v>
      </c>
      <c r="H22" s="6">
        <v>30</v>
      </c>
    </row>
    <row r="23" spans="1:8" x14ac:dyDescent="0.2">
      <c r="A23" s="11"/>
      <c r="B23" s="11"/>
      <c r="C23" s="11"/>
      <c r="D23" s="12"/>
      <c r="E23" s="11"/>
    </row>
    <row r="24" spans="1:8" x14ac:dyDescent="0.2">
      <c r="A24" s="11"/>
      <c r="B24" s="11"/>
      <c r="C24" s="11"/>
      <c r="D24" s="12"/>
      <c r="E24" s="11"/>
      <c r="G24" s="2" t="s">
        <v>58</v>
      </c>
      <c r="H24" s="2" t="s">
        <v>52</v>
      </c>
    </row>
    <row r="25" spans="1:8" x14ac:dyDescent="0.2">
      <c r="A25" s="11"/>
      <c r="B25" s="11"/>
      <c r="C25" s="11"/>
      <c r="D25" s="12"/>
      <c r="E25" s="11"/>
      <c r="G25" s="31">
        <v>0</v>
      </c>
      <c r="H25" s="6">
        <v>100</v>
      </c>
    </row>
    <row r="26" spans="1:8" x14ac:dyDescent="0.2">
      <c r="A26" s="11"/>
      <c r="B26" s="11"/>
      <c r="C26" s="11"/>
      <c r="D26" s="12"/>
      <c r="E26" s="11"/>
      <c r="G26" s="31">
        <v>1</v>
      </c>
      <c r="H26" s="6">
        <v>50</v>
      </c>
    </row>
    <row r="27" spans="1:8" x14ac:dyDescent="0.2">
      <c r="A27" s="11"/>
      <c r="B27" s="11"/>
      <c r="C27" s="11"/>
      <c r="D27" s="12"/>
      <c r="E27" s="11"/>
      <c r="G27" s="31" t="s">
        <v>76</v>
      </c>
      <c r="H27" s="6">
        <v>20</v>
      </c>
    </row>
    <row r="28" spans="1:8" x14ac:dyDescent="0.2">
      <c r="A28" s="11"/>
      <c r="B28" s="11"/>
      <c r="C28" s="11"/>
      <c r="D28" s="12"/>
      <c r="E28" s="11"/>
    </row>
    <row r="29" spans="1:8" x14ac:dyDescent="0.2">
      <c r="A29" s="11"/>
      <c r="B29" s="11"/>
      <c r="C29" s="11"/>
      <c r="D29" s="12"/>
      <c r="E29" s="11"/>
      <c r="G29" s="2" t="s">
        <v>77</v>
      </c>
      <c r="H29" s="2" t="s">
        <v>52</v>
      </c>
    </row>
    <row r="30" spans="1:8" x14ac:dyDescent="0.2">
      <c r="A30" s="11"/>
      <c r="B30" s="11"/>
      <c r="C30" s="11"/>
      <c r="D30" s="12"/>
      <c r="E30" s="11"/>
      <c r="G30" s="31">
        <v>0</v>
      </c>
      <c r="H30" s="6">
        <v>100</v>
      </c>
    </row>
    <row r="31" spans="1:8" x14ac:dyDescent="0.2">
      <c r="A31" s="11"/>
      <c r="B31" s="11"/>
      <c r="C31" s="11"/>
      <c r="D31" s="12"/>
      <c r="E31" s="11"/>
      <c r="G31" s="32" t="s">
        <v>79</v>
      </c>
      <c r="H31" s="6">
        <v>70</v>
      </c>
    </row>
    <row r="32" spans="1:8" x14ac:dyDescent="0.2">
      <c r="A32" s="11"/>
      <c r="B32" s="11"/>
      <c r="C32" s="11"/>
      <c r="D32" s="12"/>
      <c r="E32" s="11"/>
      <c r="G32" s="6" t="s">
        <v>78</v>
      </c>
      <c r="H32" s="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Loan_Applications_Raw</vt:lpstr>
      <vt:lpstr>Cleaned_Data</vt:lpstr>
      <vt:lpstr>Risk_Model</vt:lpstr>
      <vt:lpstr>Risk_Model_Automated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Gurisha Kaur</dc:creator>
  <cp:lastModifiedBy>Gurisha Kaur</cp:lastModifiedBy>
  <dcterms:created xsi:type="dcterms:W3CDTF">2026-01-15T19:08:27Z</dcterms:created>
  <dcterms:modified xsi:type="dcterms:W3CDTF">2026-02-09T01:30:36Z</dcterms:modified>
</cp:coreProperties>
</file>