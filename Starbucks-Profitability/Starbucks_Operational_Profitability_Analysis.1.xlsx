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urishakaur/Desktop/Portfolio/Operations &amp; Profitability Analysis — Starbucks Corp./01_Final Deliverables/"/>
    </mc:Choice>
  </mc:AlternateContent>
  <xr:revisionPtr revIDLastSave="0" documentId="13_ncr:1_{80F7FA92-E7B3-4847-B06A-3A66F382EEFD}" xr6:coauthVersionLast="47" xr6:coauthVersionMax="47" xr10:uidLastSave="{00000000-0000-0000-0000-000000000000}"/>
  <bookViews>
    <workbookView xWindow="0" yWindow="660" windowWidth="34560" windowHeight="21680" activeTab="3" xr2:uid="{AECDB427-A36B-8E44-869C-5BE7D46C61FD}"/>
  </bookViews>
  <sheets>
    <sheet name="Sales_Data" sheetId="1" r:id="rId1"/>
    <sheet name="Cost_Data" sheetId="2" r:id="rId2"/>
    <sheet name="Pivot_Analysis" sheetId="3" r:id="rId3"/>
    <sheet name="Executive_Dashboard" sheetId="5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B2" i="5"/>
  <c r="H2" i="5"/>
  <c r="F2" i="5"/>
  <c r="G10" i="3"/>
  <c r="G11" i="3"/>
  <c r="G9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I2" i="1"/>
  <c r="I3" i="1"/>
  <c r="I4" i="1"/>
  <c r="L4" i="1" s="1"/>
  <c r="I5" i="1"/>
  <c r="I6" i="1"/>
  <c r="L6" i="1" s="1"/>
  <c r="I7" i="1"/>
  <c r="I8" i="1"/>
  <c r="I9" i="1"/>
  <c r="I10" i="1"/>
  <c r="I11" i="1"/>
  <c r="I12" i="1"/>
  <c r="I13" i="1"/>
  <c r="I14" i="1"/>
  <c r="L14" i="1" s="1"/>
  <c r="I15" i="1"/>
  <c r="I16" i="1"/>
  <c r="I17" i="1"/>
  <c r="I18" i="1"/>
  <c r="I19" i="1"/>
  <c r="I20" i="1"/>
  <c r="I21" i="1"/>
  <c r="I22" i="1"/>
  <c r="I23" i="1"/>
  <c r="I24" i="1"/>
  <c r="L24" i="1" s="1"/>
  <c r="I25" i="1"/>
  <c r="I26" i="1"/>
  <c r="I27" i="1"/>
  <c r="I28" i="1"/>
  <c r="L28" i="1" s="1"/>
  <c r="I29" i="1"/>
  <c r="I30" i="1"/>
  <c r="I31" i="1"/>
  <c r="I32" i="1"/>
  <c r="L32" i="1" s="1"/>
  <c r="I33" i="1"/>
  <c r="I34" i="1"/>
  <c r="L34" i="1" s="1"/>
  <c r="I35" i="1"/>
  <c r="I36" i="1"/>
  <c r="I37" i="1"/>
  <c r="I38" i="1"/>
  <c r="L38" i="1" s="1"/>
  <c r="I39" i="1"/>
  <c r="I40" i="1"/>
  <c r="I41" i="1"/>
  <c r="I42" i="1"/>
  <c r="L42" i="1" s="1"/>
  <c r="I43" i="1"/>
  <c r="I44" i="1"/>
  <c r="L44" i="1" s="1"/>
  <c r="I45" i="1"/>
  <c r="I46" i="1"/>
  <c r="I47" i="1"/>
  <c r="I48" i="1"/>
  <c r="L48" i="1" s="1"/>
  <c r="I49" i="1"/>
  <c r="I50" i="1"/>
  <c r="I51" i="1"/>
  <c r="I52" i="1"/>
  <c r="L52" i="1" s="1"/>
  <c r="I53" i="1"/>
  <c r="I54" i="1"/>
  <c r="L54" i="1" s="1"/>
  <c r="I55" i="1"/>
  <c r="I56" i="1"/>
  <c r="I57" i="1"/>
  <c r="I58" i="1"/>
  <c r="L58" i="1" s="1"/>
  <c r="I59" i="1"/>
  <c r="I60" i="1"/>
  <c r="I61" i="1"/>
  <c r="I62" i="1"/>
  <c r="L62" i="1" s="1"/>
  <c r="I63" i="1"/>
  <c r="I64" i="1"/>
  <c r="L64" i="1" s="1"/>
  <c r="I65" i="1"/>
  <c r="I66" i="1"/>
  <c r="I67" i="1"/>
  <c r="I68" i="1"/>
  <c r="L68" i="1" s="1"/>
  <c r="I69" i="1"/>
  <c r="I70" i="1"/>
  <c r="I71" i="1"/>
  <c r="I72" i="1"/>
  <c r="I7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M6" i="1" l="1"/>
  <c r="P6" i="1"/>
  <c r="M68" i="1"/>
  <c r="P68" i="1"/>
  <c r="M64" i="1"/>
  <c r="P64" i="1"/>
  <c r="M54" i="1"/>
  <c r="N54" i="1" s="1"/>
  <c r="O54" i="1" s="1"/>
  <c r="P54" i="1"/>
  <c r="M44" i="1"/>
  <c r="P44" i="1"/>
  <c r="M34" i="1"/>
  <c r="P34" i="1"/>
  <c r="M24" i="1"/>
  <c r="N24" i="1" s="1"/>
  <c r="O24" i="1" s="1"/>
  <c r="P24" i="1"/>
  <c r="M14" i="1"/>
  <c r="N14" i="1" s="1"/>
  <c r="O14" i="1" s="1"/>
  <c r="P14" i="1"/>
  <c r="M4" i="1"/>
  <c r="N4" i="1" s="1"/>
  <c r="O4" i="1" s="1"/>
  <c r="P4" i="1"/>
  <c r="M62" i="1"/>
  <c r="P62" i="1"/>
  <c r="M52" i="1"/>
  <c r="P52" i="1"/>
  <c r="M42" i="1"/>
  <c r="P42" i="1"/>
  <c r="M32" i="1"/>
  <c r="N32" i="1" s="1"/>
  <c r="O32" i="1" s="1"/>
  <c r="P32" i="1"/>
  <c r="N6" i="1"/>
  <c r="O6" i="1" s="1"/>
  <c r="N44" i="1"/>
  <c r="O44" i="1" s="1"/>
  <c r="L60" i="1"/>
  <c r="M58" i="1"/>
  <c r="P58" i="1"/>
  <c r="M48" i="1"/>
  <c r="N48" i="1" s="1"/>
  <c r="O48" i="1" s="1"/>
  <c r="P48" i="1"/>
  <c r="M38" i="1"/>
  <c r="N38" i="1" s="1"/>
  <c r="O38" i="1" s="1"/>
  <c r="P38" i="1"/>
  <c r="M28" i="1"/>
  <c r="P28" i="1"/>
  <c r="L18" i="1"/>
  <c r="L67" i="1"/>
  <c r="L57" i="1"/>
  <c r="L47" i="1"/>
  <c r="L27" i="1"/>
  <c r="L17" i="1"/>
  <c r="L7" i="1"/>
  <c r="N34" i="1"/>
  <c r="O34" i="1" s="1"/>
  <c r="L71" i="1"/>
  <c r="L61" i="1"/>
  <c r="L51" i="1"/>
  <c r="L41" i="1"/>
  <c r="L31" i="1"/>
  <c r="L21" i="1"/>
  <c r="L11" i="1"/>
  <c r="N64" i="1"/>
  <c r="O64" i="1" s="1"/>
  <c r="L8" i="1"/>
  <c r="L65" i="1"/>
  <c r="L55" i="1"/>
  <c r="L45" i="1"/>
  <c r="L35" i="1"/>
  <c r="L25" i="1"/>
  <c r="L15" i="1"/>
  <c r="L5" i="1"/>
  <c r="N62" i="1"/>
  <c r="O62" i="1" s="1"/>
  <c r="N52" i="1"/>
  <c r="O52" i="1" s="1"/>
  <c r="N42" i="1"/>
  <c r="O42" i="1" s="1"/>
  <c r="N68" i="1"/>
  <c r="O68" i="1" s="1"/>
  <c r="N58" i="1"/>
  <c r="O58" i="1" s="1"/>
  <c r="N28" i="1"/>
  <c r="O28" i="1" s="1"/>
  <c r="L70" i="1"/>
  <c r="L37" i="1"/>
  <c r="L73" i="1"/>
  <c r="L63" i="1"/>
  <c r="L53" i="1"/>
  <c r="L43" i="1"/>
  <c r="L33" i="1"/>
  <c r="L23" i="1"/>
  <c r="L13" i="1"/>
  <c r="L3" i="1"/>
  <c r="L72" i="1"/>
  <c r="L22" i="1"/>
  <c r="L12" i="1"/>
  <c r="L2" i="1"/>
  <c r="L50" i="1"/>
  <c r="L40" i="1"/>
  <c r="L20" i="1"/>
  <c r="L10" i="1"/>
  <c r="L69" i="1"/>
  <c r="L59" i="1"/>
  <c r="L49" i="1"/>
  <c r="L39" i="1"/>
  <c r="L29" i="1"/>
  <c r="L19" i="1"/>
  <c r="L9" i="1"/>
  <c r="L66" i="1"/>
  <c r="L56" i="1"/>
  <c r="L46" i="1"/>
  <c r="L36" i="1"/>
  <c r="L26" i="1"/>
  <c r="L16" i="1"/>
  <c r="L30" i="1"/>
  <c r="M46" i="1" l="1"/>
  <c r="N46" i="1" s="1"/>
  <c r="O46" i="1" s="1"/>
  <c r="P46" i="1"/>
  <c r="M20" i="1"/>
  <c r="N20" i="1" s="1"/>
  <c r="O20" i="1" s="1"/>
  <c r="P20" i="1"/>
  <c r="M40" i="1"/>
  <c r="N40" i="1" s="1"/>
  <c r="O40" i="1" s="1"/>
  <c r="P40" i="1"/>
  <c r="M17" i="1"/>
  <c r="N17" i="1" s="1"/>
  <c r="O17" i="1" s="1"/>
  <c r="P17" i="1"/>
  <c r="M56" i="1"/>
  <c r="N56" i="1" s="1"/>
  <c r="O56" i="1" s="1"/>
  <c r="P56" i="1"/>
  <c r="M7" i="1"/>
  <c r="N7" i="1" s="1"/>
  <c r="O7" i="1" s="1"/>
  <c r="P7" i="1"/>
  <c r="M41" i="1"/>
  <c r="N41" i="1" s="1"/>
  <c r="O41" i="1" s="1"/>
  <c r="P41" i="1"/>
  <c r="M11" i="1"/>
  <c r="N11" i="1" s="1"/>
  <c r="O11" i="1" s="1"/>
  <c r="P11" i="1"/>
  <c r="M66" i="1"/>
  <c r="N66" i="1" s="1"/>
  <c r="O66" i="1" s="1"/>
  <c r="P66" i="1"/>
  <c r="M15" i="1"/>
  <c r="N15" i="1" s="1"/>
  <c r="O15" i="1" s="1"/>
  <c r="P15" i="1"/>
  <c r="M2" i="1"/>
  <c r="N2" i="1" s="1"/>
  <c r="O2" i="1" s="1"/>
  <c r="P2" i="1"/>
  <c r="M73" i="1"/>
  <c r="N73" i="1" s="1"/>
  <c r="O73" i="1" s="1"/>
  <c r="P73" i="1"/>
  <c r="M70" i="1"/>
  <c r="N70" i="1" s="1"/>
  <c r="O70" i="1" s="1"/>
  <c r="P70" i="1"/>
  <c r="M35" i="1"/>
  <c r="N35" i="1" s="1"/>
  <c r="O35" i="1" s="1"/>
  <c r="P35" i="1"/>
  <c r="M51" i="1"/>
  <c r="N51" i="1" s="1"/>
  <c r="O51" i="1" s="1"/>
  <c r="P51" i="1"/>
  <c r="M57" i="1"/>
  <c r="N57" i="1" s="1"/>
  <c r="O57" i="1" s="1"/>
  <c r="P57" i="1"/>
  <c r="M23" i="1"/>
  <c r="N23" i="1" s="1"/>
  <c r="O23" i="1" s="1"/>
  <c r="P23" i="1"/>
  <c r="M53" i="1"/>
  <c r="N53" i="1" s="1"/>
  <c r="O53" i="1" s="1"/>
  <c r="P53" i="1"/>
  <c r="M47" i="1"/>
  <c r="N47" i="1" s="1"/>
  <c r="O47" i="1" s="1"/>
  <c r="P47" i="1"/>
  <c r="M39" i="1"/>
  <c r="N39" i="1" s="1"/>
  <c r="O39" i="1" s="1"/>
  <c r="P39" i="1"/>
  <c r="M45" i="1"/>
  <c r="N45" i="1" s="1"/>
  <c r="O45" i="1" s="1"/>
  <c r="P45" i="1"/>
  <c r="M61" i="1"/>
  <c r="N61" i="1" s="1"/>
  <c r="O61" i="1" s="1"/>
  <c r="P61" i="1"/>
  <c r="M67" i="1"/>
  <c r="N67" i="1" s="1"/>
  <c r="O67" i="1" s="1"/>
  <c r="P67" i="1"/>
  <c r="M60" i="1"/>
  <c r="N60" i="1" s="1"/>
  <c r="O60" i="1" s="1"/>
  <c r="P60" i="1"/>
  <c r="M5" i="1"/>
  <c r="N5" i="1" s="1"/>
  <c r="O5" i="1" s="1"/>
  <c r="P5" i="1"/>
  <c r="M9" i="1"/>
  <c r="N9" i="1" s="1"/>
  <c r="O9" i="1" s="1"/>
  <c r="P9" i="1"/>
  <c r="M27" i="1"/>
  <c r="N27" i="1" s="1"/>
  <c r="O27" i="1" s="1"/>
  <c r="P27" i="1"/>
  <c r="M63" i="1"/>
  <c r="N63" i="1" s="1"/>
  <c r="O63" i="1" s="1"/>
  <c r="P63" i="1"/>
  <c r="M12" i="1"/>
  <c r="N12" i="1" s="1"/>
  <c r="O12" i="1" s="1"/>
  <c r="P12" i="1"/>
  <c r="M22" i="1"/>
  <c r="N22" i="1" s="1"/>
  <c r="O22" i="1" s="1"/>
  <c r="P22" i="1"/>
  <c r="M16" i="1"/>
  <c r="N16" i="1" s="1"/>
  <c r="O16" i="1" s="1"/>
  <c r="P16" i="1"/>
  <c r="M71" i="1"/>
  <c r="N71" i="1" s="1"/>
  <c r="O71" i="1" s="1"/>
  <c r="P71" i="1"/>
  <c r="M10" i="1"/>
  <c r="N10" i="1" s="1"/>
  <c r="O10" i="1" s="1"/>
  <c r="P10" i="1"/>
  <c r="M33" i="1"/>
  <c r="N33" i="1" s="1"/>
  <c r="O33" i="1" s="1"/>
  <c r="P33" i="1"/>
  <c r="M43" i="1"/>
  <c r="N43" i="1" s="1"/>
  <c r="O43" i="1" s="1"/>
  <c r="P43" i="1"/>
  <c r="M21" i="1"/>
  <c r="N21" i="1" s="1"/>
  <c r="O21" i="1" s="1"/>
  <c r="P21" i="1"/>
  <c r="M19" i="1"/>
  <c r="N19" i="1" s="1"/>
  <c r="O19" i="1" s="1"/>
  <c r="P19" i="1"/>
  <c r="M29" i="1"/>
  <c r="N29" i="1" s="1"/>
  <c r="O29" i="1" s="1"/>
  <c r="P29" i="1"/>
  <c r="M49" i="1"/>
  <c r="N49" i="1" s="1"/>
  <c r="O49" i="1" s="1"/>
  <c r="P49" i="1"/>
  <c r="M55" i="1"/>
  <c r="N55" i="1" s="1"/>
  <c r="O55" i="1" s="1"/>
  <c r="P55" i="1"/>
  <c r="M18" i="1"/>
  <c r="N18" i="1" s="1"/>
  <c r="O18" i="1" s="1"/>
  <c r="P18" i="1"/>
  <c r="M26" i="1"/>
  <c r="N26" i="1" s="1"/>
  <c r="O26" i="1" s="1"/>
  <c r="P26" i="1"/>
  <c r="M59" i="1"/>
  <c r="N59" i="1" s="1"/>
  <c r="O59" i="1" s="1"/>
  <c r="P59" i="1"/>
  <c r="M3" i="1"/>
  <c r="N3" i="1" s="1"/>
  <c r="O3" i="1" s="1"/>
  <c r="P3" i="1"/>
  <c r="M65" i="1"/>
  <c r="N65" i="1" s="1"/>
  <c r="O65" i="1" s="1"/>
  <c r="P65" i="1"/>
  <c r="M50" i="1"/>
  <c r="N50" i="1" s="1"/>
  <c r="O50" i="1" s="1"/>
  <c r="P50" i="1"/>
  <c r="M31" i="1"/>
  <c r="N31" i="1" s="1"/>
  <c r="O31" i="1" s="1"/>
  <c r="P31" i="1"/>
  <c r="M25" i="1"/>
  <c r="N25" i="1" s="1"/>
  <c r="O25" i="1" s="1"/>
  <c r="P25" i="1"/>
  <c r="M30" i="1"/>
  <c r="N30" i="1" s="1"/>
  <c r="O30" i="1" s="1"/>
  <c r="P30" i="1"/>
  <c r="M37" i="1"/>
  <c r="N37" i="1" s="1"/>
  <c r="O37" i="1" s="1"/>
  <c r="P37" i="1"/>
  <c r="M72" i="1"/>
  <c r="N72" i="1" s="1"/>
  <c r="O72" i="1" s="1"/>
  <c r="P72" i="1"/>
  <c r="M36" i="1"/>
  <c r="N36" i="1" s="1"/>
  <c r="O36" i="1" s="1"/>
  <c r="P36" i="1"/>
  <c r="M69" i="1"/>
  <c r="N69" i="1" s="1"/>
  <c r="O69" i="1" s="1"/>
  <c r="P69" i="1"/>
  <c r="M13" i="1"/>
  <c r="N13" i="1" s="1"/>
  <c r="O13" i="1" s="1"/>
  <c r="P13" i="1"/>
  <c r="M8" i="1"/>
  <c r="N8" i="1" s="1"/>
  <c r="O8" i="1" s="1"/>
  <c r="P8" i="1"/>
</calcChain>
</file>

<file path=xl/sharedStrings.xml><?xml version="1.0" encoding="utf-8"?>
<sst xmlns="http://schemas.openxmlformats.org/spreadsheetml/2006/main" count="444" uniqueCount="58">
  <si>
    <t>Date</t>
  </si>
  <si>
    <t>Store_ID</t>
  </si>
  <si>
    <t>Region</t>
  </si>
  <si>
    <t>Product</t>
  </si>
  <si>
    <t>Category</t>
  </si>
  <si>
    <t>Units_Sold</t>
  </si>
  <si>
    <t>Price_per_Unit</t>
  </si>
  <si>
    <t>2025-01</t>
  </si>
  <si>
    <t>S001</t>
  </si>
  <si>
    <t>West</t>
  </si>
  <si>
    <t>Latte</t>
  </si>
  <si>
    <t>Beverage</t>
  </si>
  <si>
    <t>Cold Brew</t>
  </si>
  <si>
    <t>Sandwich</t>
  </si>
  <si>
    <t>Food</t>
  </si>
  <si>
    <t>Muffin</t>
  </si>
  <si>
    <t>S002</t>
  </si>
  <si>
    <t>East</t>
  </si>
  <si>
    <t>S003</t>
  </si>
  <si>
    <t>Central</t>
  </si>
  <si>
    <t>2025-02</t>
  </si>
  <si>
    <t>2025-03</t>
  </si>
  <si>
    <t>2025-04</t>
  </si>
  <si>
    <t>2025-05</t>
  </si>
  <si>
    <t>2025-06</t>
  </si>
  <si>
    <t>Regions</t>
  </si>
  <si>
    <t>Products</t>
  </si>
  <si>
    <t>Categories</t>
  </si>
  <si>
    <t>Store_IDs</t>
  </si>
  <si>
    <t>Ingredient_Cost_per_Unit</t>
  </si>
  <si>
    <t>Packaging_Cost_per_Unit</t>
  </si>
  <si>
    <t>Labor_Cost_per_Unit</t>
  </si>
  <si>
    <t>Revenue</t>
  </si>
  <si>
    <t>Total_Cost_per_Unit</t>
  </si>
  <si>
    <t>Total_Cost</t>
  </si>
  <si>
    <t>Gross_Profit</t>
  </si>
  <si>
    <t>Gross_Margin_%</t>
  </si>
  <si>
    <t>Contribution_Margin_per_Unit</t>
  </si>
  <si>
    <t>Contribution_Margin_%</t>
  </si>
  <si>
    <t>Row Labels</t>
  </si>
  <si>
    <t>Grand Total</t>
  </si>
  <si>
    <t>Total Revenue</t>
  </si>
  <si>
    <t>Total Gross Profit</t>
  </si>
  <si>
    <t>Total Units Sold</t>
  </si>
  <si>
    <t>Gross Profit %</t>
  </si>
  <si>
    <t>Store Gross Margin %</t>
  </si>
  <si>
    <t>Revenue per Unit</t>
  </si>
  <si>
    <t>Performance Flag</t>
  </si>
  <si>
    <t>TOTAL REVENUE</t>
  </si>
  <si>
    <t>TOTAL GROSS PROFIT</t>
  </si>
  <si>
    <t>GROSS MARGIN %</t>
  </si>
  <si>
    <t>TOTAL UNITS SOLD</t>
  </si>
  <si>
    <t>Product Profit Contribution</t>
  </si>
  <si>
    <t>Product Gross Profit (Chart)</t>
  </si>
  <si>
    <t>Store Gross Margin Comparison</t>
  </si>
  <si>
    <t>Notes:</t>
  </si>
  <si>
    <t>(i) Separate pivots are used for analysis and visualization to preserve data integrity</t>
  </si>
  <si>
    <t>(ii) Dashboard visuals are sourced from respective chart-support tables in columns J and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</si>
</sst>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 tint="0.249977111117893"/>
      <name val="Aptos Narrow"/>
      <family val="2"/>
      <scheme val="minor"/>
    </font>
    <font>
      <b/>
      <sz val="22"/>
      <color theme="1"/>
      <name val="Aptos Narrow"/>
      <scheme val="minor"/>
    </font>
    <font>
      <i/>
      <sz val="10"/>
      <color theme="2" tint="-0.74999237037263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0" fontId="3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4" fillId="2" borderId="0" xfId="0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0" fontId="0" fillId="2" borderId="0" xfId="0" applyFill="1"/>
    <xf numFmtId="0" fontId="0" fillId="2" borderId="0" xfId="0" applyFill="1" applyAlignment="1">
      <alignment horizontal="left"/>
    </xf>
    <xf numFmtId="3" fontId="0" fillId="2" borderId="0" xfId="0" applyNumberFormat="1" applyFill="1"/>
    <xf numFmtId="164" fontId="0" fillId="2" borderId="0" xfId="0" applyNumberFormat="1" applyFill="1"/>
    <xf numFmtId="4" fontId="0" fillId="2" borderId="0" xfId="0" applyNumberFormat="1" applyFill="1"/>
    <xf numFmtId="0" fontId="1" fillId="2" borderId="0" xfId="0" applyFont="1" applyFill="1"/>
    <xf numFmtId="0" fontId="6" fillId="0" borderId="0" xfId="0" applyFont="1"/>
    <xf numFmtId="49" fontId="1" fillId="2" borderId="1" xfId="0" applyNumberFormat="1" applyFont="1" applyFill="1" applyBorder="1"/>
    <xf numFmtId="3" fontId="1" fillId="2" borderId="1" xfId="0" applyNumberFormat="1" applyFont="1" applyFill="1" applyBorder="1"/>
    <xf numFmtId="4" fontId="1" fillId="2" borderId="1" xfId="0" applyNumberFormat="1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49" fontId="1" fillId="2" borderId="3" xfId="0" applyNumberFormat="1" applyFont="1" applyFill="1" applyBorder="1"/>
    <xf numFmtId="4" fontId="1" fillId="2" borderId="4" xfId="0" applyNumberFormat="1" applyFont="1" applyFill="1" applyBorder="1"/>
    <xf numFmtId="4" fontId="1" fillId="2" borderId="5" xfId="0" applyNumberFormat="1" applyFont="1" applyFill="1" applyBorder="1"/>
    <xf numFmtId="49" fontId="0" fillId="0" borderId="6" xfId="0" applyNumberFormat="1" applyBorder="1"/>
    <xf numFmtId="4" fontId="0" fillId="0" borderId="2" xfId="0" applyNumberFormat="1" applyBorder="1"/>
    <xf numFmtId="4" fontId="0" fillId="0" borderId="7" xfId="0" applyNumberFormat="1" applyBorder="1"/>
    <xf numFmtId="49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</cellXfs>
  <cellStyles count="1">
    <cellStyle name="Normal" xfId="0" builtinId="0"/>
  </cellStyles>
  <dxfs count="45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4" formatCode="#,##0.0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4" formatCode="#,##0.00"/>
    </dxf>
    <dxf>
      <numFmt numFmtId="164" formatCode="0.0%"/>
    </dxf>
    <dxf>
      <numFmt numFmtId="3" formatCode="#,##0"/>
    </dxf>
    <dxf>
      <numFmt numFmtId="3" formatCode="#,##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[Starbucks_Operational_Profitability_Analysis.1.xlsx]Pivot_Analysis!Product_Chart_Pivot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Pivot_Analysis!$J$2:$J$6</c:f>
              <c:strCache>
                <c:ptCount val="4"/>
                <c:pt idx="0">
                  <c:v>Latte</c:v>
                </c:pt>
                <c:pt idx="1">
                  <c:v>Cold Brew</c:v>
                </c:pt>
                <c:pt idx="2">
                  <c:v>Sandwich</c:v>
                </c:pt>
                <c:pt idx="3">
                  <c:v>Muffin</c:v>
                </c:pt>
              </c:strCache>
            </c:strRef>
          </c:cat>
          <c:val>
            <c:numRef>
              <c:f>Pivot_Analysis!$K$2:$K$6</c:f>
              <c:numCache>
                <c:formatCode>#,##0</c:formatCode>
                <c:ptCount val="4"/>
                <c:pt idx="0">
                  <c:v>313440</c:v>
                </c:pt>
                <c:pt idx="1">
                  <c:v>308310</c:v>
                </c:pt>
                <c:pt idx="2">
                  <c:v>131640.00000000003</c:v>
                </c:pt>
                <c:pt idx="3">
                  <c:v>74310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A-A447-A91C-6E0BE5BC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710272"/>
        <c:axId val="1623712064"/>
      </c:barChart>
      <c:catAx>
        <c:axId val="16237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12064"/>
        <c:crosses val="autoZero"/>
        <c:auto val="1"/>
        <c:lblAlgn val="ctr"/>
        <c:lblOffset val="100"/>
        <c:noMultiLvlLbl val="0"/>
      </c:catAx>
      <c:valAx>
        <c:axId val="16237120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[Starbucks_Operational_Profitability_Analysis.1.xlsx]Pivot_Analysis!Store_Chart_Pivot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Pivot_Analysis!$J$9:$J$12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Pivot_Analysis!$K$9:$K$12</c:f>
              <c:numCache>
                <c:formatCode>0.0%</c:formatCode>
                <c:ptCount val="3"/>
                <c:pt idx="0">
                  <c:v>0.500267444687576</c:v>
                </c:pt>
                <c:pt idx="1">
                  <c:v>0.48777063873440957</c:v>
                </c:pt>
                <c:pt idx="2">
                  <c:v>0.49228937183685623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8-7640-8830-DDEDCB6FB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115392"/>
        <c:axId val="1608112704"/>
      </c:barChart>
      <c:catAx>
        <c:axId val="16081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112704"/>
        <c:crosses val="autoZero"/>
        <c:auto val="1"/>
        <c:lblAlgn val="ctr"/>
        <c:lblOffset val="100"/>
        <c:noMultiLvlLbl val="0"/>
      </c:catAx>
      <c:valAx>
        <c:axId val="16081127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11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4</xdr:row>
      <xdr:rowOff>0</xdr:rowOff>
    </xdr:from>
    <xdr:to>
      <xdr:col>8</xdr:col>
      <xdr:colOff>25400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95556F-5F11-F846-9999-A087D3955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9769</xdr:colOff>
      <xdr:row>19</xdr:row>
      <xdr:rowOff>0</xdr:rowOff>
    </xdr:from>
    <xdr:to>
      <xdr:col>8</xdr:col>
      <xdr:colOff>48846</xdr:colOff>
      <xdr:row>32</xdr:row>
      <xdr:rowOff>19538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7BF9DD-D506-084C-9522-0B3A25188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6.02420925926" createdVersion="8" refreshedVersion="8" minRefreshableVersion="3" recordCount="72" xr:uid="{875604F0-ED14-554A-84FF-ABA0C5E6B212}">
  <cacheSource type="worksheet">
    <worksheetSource name="SalesTable"/>
  </cacheSource>
  <cacheFields count="21">
    <cacheField name="Date" numFmtId="49">
      <sharedItems/>
    </cacheField>
    <cacheField name="Store_ID" numFmtId="49">
      <sharedItems count="3">
        <s v="S001"/>
        <s v="S002"/>
        <s v="S003"/>
      </sharedItems>
    </cacheField>
    <cacheField name="Region" numFmtId="49">
      <sharedItems/>
    </cacheField>
    <cacheField name="Product" numFmtId="49">
      <sharedItems count="4">
        <s v="Latte"/>
        <s v="Cold Brew"/>
        <s v="Sandwich"/>
        <s v="Muffin"/>
      </sharedItems>
    </cacheField>
    <cacheField name="Category" numFmtId="49">
      <sharedItems/>
    </cacheField>
    <cacheField name="Units_Sold" numFmtId="3">
      <sharedItems containsSemiMixedTypes="0" containsString="0" containsNumber="1" containsInteger="1" minValue="2300" maxValue="8200"/>
    </cacheField>
    <cacheField name="Price_per_Unit" numFmtId="4">
      <sharedItems containsSemiMixedTypes="0" containsString="0" containsNumber="1" minValue="3.65" maxValue="6.5"/>
    </cacheField>
    <cacheField name="Revenue" numFmtId="4">
      <sharedItems containsSemiMixedTypes="0" containsString="0" containsNumber="1" minValue="8510" maxValue="38950"/>
    </cacheField>
    <cacheField name="Ingredient_Cost_per_Unit" numFmtId="0">
      <sharedItems containsSemiMixedTypes="0" containsString="0" containsNumber="1" minValue="1.1000000000000001" maxValue="2.4"/>
    </cacheField>
    <cacheField name="Packaging_Cost_per_Unit" numFmtId="0">
      <sharedItems containsSemiMixedTypes="0" containsString="0" containsNumber="1" minValue="0.15" maxValue="0.3"/>
    </cacheField>
    <cacheField name="Labor_Cost_per_Unit" numFmtId="0">
      <sharedItems containsSemiMixedTypes="0" containsString="0" containsNumber="1" minValue="0.6" maxValue="1.2"/>
    </cacheField>
    <cacheField name="Total_Cost_per_Unit" numFmtId="2">
      <sharedItems containsSemiMixedTypes="0" containsString="0" containsNumber="1" minValue="2.0499999999999998" maxValue="3.8999999999999995"/>
    </cacheField>
    <cacheField name="Total_Cost" numFmtId="3">
      <sharedItems containsSemiMixedTypes="0" containsString="0" containsNumber="1" minValue="4715" maxValue="19680"/>
    </cacheField>
    <cacheField name="Gross_Profit" numFmtId="3">
      <sharedItems containsSemiMixedTypes="0" containsString="0" containsNumber="1" minValue="3795" maxValue="19520"/>
    </cacheField>
    <cacheField name="Gross_Margin_Row" numFmtId="164">
      <sharedItems containsSemiMixedTypes="0" containsString="0" containsNumber="1" minValue="0.39062500000000011" maxValue="0.580952380952381"/>
    </cacheField>
    <cacheField name="Contribution_Margin_per_Unit" numFmtId="4">
      <sharedItems containsSemiMixedTypes="0" containsString="0" containsNumber="1" minValue="1.6" maxValue="3.05"/>
    </cacheField>
    <cacheField name="Contribution_Margin_%" numFmtId="164">
      <sharedItems containsSemiMixedTypes="0" containsString="0" containsNumber="1" minValue="0.39062500000000011" maxValue="0.58095238095238089"/>
    </cacheField>
    <cacheField name="Gross Margin %" numFmtId="0" formula="Gross_Profit/Revenue" databaseField="0"/>
    <cacheField name="Gross Profit (Calc)" numFmtId="0" formula="Gross_Profit/Revenue" databaseField="0"/>
    <cacheField name="Store Gross Margin (Calc)" numFmtId="0" formula="Gross_Profit/Revenue" databaseField="0"/>
    <cacheField name="Revenue per Unit (Calc)" numFmtId="0" formula="Revenue/Units_Sol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2025-01"/>
    <x v="0"/>
    <s v="West"/>
    <x v="0"/>
    <s v="Beverage"/>
    <n v="8200"/>
    <n v="4.75"/>
    <n v="38950"/>
    <n v="1.25"/>
    <n v="0.2"/>
    <n v="0.95"/>
    <n v="2.4"/>
    <n v="19680"/>
    <n v="19270"/>
    <n v="0.49473684210526314"/>
    <n v="2.35"/>
    <n v="0.4947368421052632"/>
  </r>
  <r>
    <s v="2025-01"/>
    <x v="0"/>
    <s v="West"/>
    <x v="1"/>
    <s v="Beverage"/>
    <n v="6400"/>
    <n v="5.25"/>
    <n v="33600"/>
    <n v="1.1000000000000001"/>
    <n v="0.25"/>
    <n v="0.85"/>
    <n v="2.2000000000000002"/>
    <n v="14080.000000000002"/>
    <n v="19520"/>
    <n v="0.580952380952381"/>
    <n v="3.05"/>
    <n v="0.58095238095238089"/>
  </r>
  <r>
    <s v="2025-01"/>
    <x v="0"/>
    <s v="West"/>
    <x v="2"/>
    <s v="Food"/>
    <n v="3100"/>
    <n v="6.5"/>
    <n v="20150"/>
    <n v="2.4"/>
    <n v="0.3"/>
    <n v="1.2"/>
    <n v="3.8999999999999995"/>
    <n v="12089.999999999998"/>
    <n v="8060.0000000000018"/>
    <n v="0.40000000000000008"/>
    <n v="2.6000000000000005"/>
    <n v="0.40000000000000008"/>
  </r>
  <r>
    <s v="2025-01"/>
    <x v="0"/>
    <s v="West"/>
    <x v="3"/>
    <s v="Food"/>
    <n v="2700"/>
    <n v="3.75"/>
    <n v="10125"/>
    <n v="1.3"/>
    <n v="0.15"/>
    <n v="0.6"/>
    <n v="2.0499999999999998"/>
    <n v="5534.9999999999991"/>
    <n v="4590.0000000000009"/>
    <n v="0.45333333333333342"/>
    <n v="1.7000000000000002"/>
    <n v="0.45333333333333337"/>
  </r>
  <r>
    <s v="2025-01"/>
    <x v="1"/>
    <s v="East"/>
    <x v="0"/>
    <s v="Beverage"/>
    <n v="7600"/>
    <n v="4.6500000000000004"/>
    <n v="35340"/>
    <n v="1.25"/>
    <n v="0.2"/>
    <n v="0.95"/>
    <n v="2.4"/>
    <n v="18240"/>
    <n v="17100"/>
    <n v="0.4838709677419355"/>
    <n v="2.2500000000000004"/>
    <n v="0.48387096774193555"/>
  </r>
  <r>
    <s v="2025-01"/>
    <x v="1"/>
    <s v="East"/>
    <x v="1"/>
    <s v="Beverage"/>
    <n v="5800"/>
    <n v="5.0999999999999996"/>
    <n v="29579.999999999996"/>
    <n v="1.1000000000000001"/>
    <n v="0.25"/>
    <n v="0.85"/>
    <n v="2.2000000000000002"/>
    <n v="12760.000000000002"/>
    <n v="16819.999999999993"/>
    <n v="0.56862745098039202"/>
    <n v="2.8999999999999995"/>
    <n v="0.56862745098039214"/>
  </r>
  <r>
    <s v="2025-01"/>
    <x v="1"/>
    <s v="East"/>
    <x v="2"/>
    <s v="Food"/>
    <n v="2900"/>
    <n v="6.4"/>
    <n v="18560"/>
    <n v="2.4"/>
    <n v="0.3"/>
    <n v="1.2"/>
    <n v="3.8999999999999995"/>
    <n v="11309.999999999998"/>
    <n v="7250.0000000000018"/>
    <n v="0.39062500000000011"/>
    <n v="2.5000000000000009"/>
    <n v="0.39062500000000011"/>
  </r>
  <r>
    <s v="2025-01"/>
    <x v="1"/>
    <s v="East"/>
    <x v="3"/>
    <s v="Food"/>
    <n v="2500"/>
    <n v="3.65"/>
    <n v="9125"/>
    <n v="1.3"/>
    <n v="0.15"/>
    <n v="0.6"/>
    <n v="2.0499999999999998"/>
    <n v="5125"/>
    <n v="4000"/>
    <n v="0.43835616438356162"/>
    <n v="1.6"/>
    <n v="0.43835616438356168"/>
  </r>
  <r>
    <s v="2025-01"/>
    <x v="2"/>
    <s v="Central"/>
    <x v="0"/>
    <s v="Beverage"/>
    <n v="6900"/>
    <n v="4.7"/>
    <n v="32430"/>
    <n v="1.25"/>
    <n v="0.2"/>
    <n v="0.95"/>
    <n v="2.4"/>
    <n v="16560"/>
    <n v="15870"/>
    <n v="0.48936170212765956"/>
    <n v="2.3000000000000003"/>
    <n v="0.48936170212765961"/>
  </r>
  <r>
    <s v="2025-01"/>
    <x v="2"/>
    <s v="Central"/>
    <x v="1"/>
    <s v="Beverage"/>
    <n v="5100"/>
    <n v="5.15"/>
    <n v="26265"/>
    <n v="1.1000000000000001"/>
    <n v="0.25"/>
    <n v="0.85"/>
    <n v="2.2000000000000002"/>
    <n v="11220"/>
    <n v="15045"/>
    <n v="0.57281553398058249"/>
    <n v="2.95"/>
    <n v="0.57281553398058249"/>
  </r>
  <r>
    <s v="2025-01"/>
    <x v="2"/>
    <s v="Central"/>
    <x v="2"/>
    <s v="Food"/>
    <n v="2600"/>
    <n v="6.45"/>
    <n v="16770"/>
    <n v="2.4"/>
    <n v="0.3"/>
    <n v="1.2"/>
    <n v="3.8999999999999995"/>
    <n v="10139.999999999998"/>
    <n v="6630.0000000000018"/>
    <n v="0.39534883720930242"/>
    <n v="2.5500000000000007"/>
    <n v="0.39534883720930242"/>
  </r>
  <r>
    <s v="2025-01"/>
    <x v="2"/>
    <s v="Central"/>
    <x v="3"/>
    <s v="Food"/>
    <n v="2300"/>
    <n v="3.7"/>
    <n v="8510"/>
    <n v="1.3"/>
    <n v="0.15"/>
    <n v="0.6"/>
    <n v="2.0499999999999998"/>
    <n v="4715"/>
    <n v="3795"/>
    <n v="0.44594594594594594"/>
    <n v="1.6500000000000004"/>
    <n v="0.445945945945946"/>
  </r>
  <r>
    <s v="2025-02"/>
    <x v="0"/>
    <s v="West"/>
    <x v="0"/>
    <s v="Beverage"/>
    <n v="8200"/>
    <n v="4.75"/>
    <n v="38950"/>
    <n v="1.25"/>
    <n v="0.2"/>
    <n v="0.95"/>
    <n v="2.4"/>
    <n v="19680"/>
    <n v="19270"/>
    <n v="0.49473684210526314"/>
    <n v="2.35"/>
    <n v="0.4947368421052632"/>
  </r>
  <r>
    <s v="2025-02"/>
    <x v="0"/>
    <s v="West"/>
    <x v="1"/>
    <s v="Beverage"/>
    <n v="6400"/>
    <n v="5.25"/>
    <n v="33600"/>
    <n v="1.1000000000000001"/>
    <n v="0.25"/>
    <n v="0.85"/>
    <n v="2.2000000000000002"/>
    <n v="14080.000000000002"/>
    <n v="19520"/>
    <n v="0.580952380952381"/>
    <n v="3.05"/>
    <n v="0.58095238095238089"/>
  </r>
  <r>
    <s v="2025-02"/>
    <x v="0"/>
    <s v="West"/>
    <x v="2"/>
    <s v="Food"/>
    <n v="3100"/>
    <n v="6.5"/>
    <n v="20150"/>
    <n v="2.4"/>
    <n v="0.3"/>
    <n v="1.2"/>
    <n v="3.8999999999999995"/>
    <n v="12089.999999999998"/>
    <n v="8060.0000000000018"/>
    <n v="0.40000000000000008"/>
    <n v="2.6000000000000005"/>
    <n v="0.40000000000000008"/>
  </r>
  <r>
    <s v="2025-02"/>
    <x v="0"/>
    <s v="West"/>
    <x v="3"/>
    <s v="Food"/>
    <n v="2700"/>
    <n v="3.75"/>
    <n v="10125"/>
    <n v="1.3"/>
    <n v="0.15"/>
    <n v="0.6"/>
    <n v="2.0499999999999998"/>
    <n v="5534.9999999999991"/>
    <n v="4590.0000000000009"/>
    <n v="0.45333333333333342"/>
    <n v="1.7000000000000002"/>
    <n v="0.45333333333333337"/>
  </r>
  <r>
    <s v="2025-02"/>
    <x v="1"/>
    <s v="East"/>
    <x v="0"/>
    <s v="Beverage"/>
    <n v="7600"/>
    <n v="4.6500000000000004"/>
    <n v="35340"/>
    <n v="1.25"/>
    <n v="0.2"/>
    <n v="0.95"/>
    <n v="2.4"/>
    <n v="18240"/>
    <n v="17100"/>
    <n v="0.4838709677419355"/>
    <n v="2.2500000000000004"/>
    <n v="0.48387096774193555"/>
  </r>
  <r>
    <s v="2025-02"/>
    <x v="1"/>
    <s v="East"/>
    <x v="1"/>
    <s v="Beverage"/>
    <n v="5800"/>
    <n v="5.0999999999999996"/>
    <n v="29579.999999999996"/>
    <n v="1.1000000000000001"/>
    <n v="0.25"/>
    <n v="0.85"/>
    <n v="2.2000000000000002"/>
    <n v="12760.000000000002"/>
    <n v="16819.999999999993"/>
    <n v="0.56862745098039202"/>
    <n v="2.8999999999999995"/>
    <n v="0.56862745098039214"/>
  </r>
  <r>
    <s v="2025-02"/>
    <x v="1"/>
    <s v="East"/>
    <x v="2"/>
    <s v="Food"/>
    <n v="2900"/>
    <n v="6.4"/>
    <n v="18560"/>
    <n v="2.4"/>
    <n v="0.3"/>
    <n v="1.2"/>
    <n v="3.8999999999999995"/>
    <n v="11309.999999999998"/>
    <n v="7250.0000000000018"/>
    <n v="0.39062500000000011"/>
    <n v="2.5000000000000009"/>
    <n v="0.39062500000000011"/>
  </r>
  <r>
    <s v="2025-02"/>
    <x v="1"/>
    <s v="East"/>
    <x v="3"/>
    <s v="Food"/>
    <n v="2500"/>
    <n v="3.65"/>
    <n v="9125"/>
    <n v="1.3"/>
    <n v="0.15"/>
    <n v="0.6"/>
    <n v="2.0499999999999998"/>
    <n v="5125"/>
    <n v="4000"/>
    <n v="0.43835616438356162"/>
    <n v="1.6"/>
    <n v="0.43835616438356168"/>
  </r>
  <r>
    <s v="2025-02"/>
    <x v="2"/>
    <s v="Central"/>
    <x v="0"/>
    <s v="Beverage"/>
    <n v="6900"/>
    <n v="4.7"/>
    <n v="32430"/>
    <n v="1.25"/>
    <n v="0.2"/>
    <n v="0.95"/>
    <n v="2.4"/>
    <n v="16560"/>
    <n v="15870"/>
    <n v="0.48936170212765956"/>
    <n v="2.3000000000000003"/>
    <n v="0.48936170212765961"/>
  </r>
  <r>
    <s v="2025-02"/>
    <x v="2"/>
    <s v="Central"/>
    <x v="1"/>
    <s v="Beverage"/>
    <n v="5100"/>
    <n v="5.15"/>
    <n v="26265"/>
    <n v="1.1000000000000001"/>
    <n v="0.25"/>
    <n v="0.85"/>
    <n v="2.2000000000000002"/>
    <n v="11220"/>
    <n v="15045"/>
    <n v="0.57281553398058249"/>
    <n v="2.95"/>
    <n v="0.57281553398058249"/>
  </r>
  <r>
    <s v="2025-02"/>
    <x v="2"/>
    <s v="Central"/>
    <x v="2"/>
    <s v="Food"/>
    <n v="2600"/>
    <n v="6.45"/>
    <n v="16770"/>
    <n v="2.4"/>
    <n v="0.3"/>
    <n v="1.2"/>
    <n v="3.8999999999999995"/>
    <n v="10139.999999999998"/>
    <n v="6630.0000000000018"/>
    <n v="0.39534883720930242"/>
    <n v="2.5500000000000007"/>
    <n v="0.39534883720930242"/>
  </r>
  <r>
    <s v="2025-02"/>
    <x v="2"/>
    <s v="Central"/>
    <x v="3"/>
    <s v="Food"/>
    <n v="2300"/>
    <n v="3.7"/>
    <n v="8510"/>
    <n v="1.3"/>
    <n v="0.15"/>
    <n v="0.6"/>
    <n v="2.0499999999999998"/>
    <n v="4715"/>
    <n v="3795"/>
    <n v="0.44594594594594594"/>
    <n v="1.6500000000000004"/>
    <n v="0.445945945945946"/>
  </r>
  <r>
    <s v="2025-03"/>
    <x v="0"/>
    <s v="West"/>
    <x v="0"/>
    <s v="Beverage"/>
    <n v="8200"/>
    <n v="4.75"/>
    <n v="38950"/>
    <n v="1.25"/>
    <n v="0.2"/>
    <n v="0.95"/>
    <n v="2.4"/>
    <n v="19680"/>
    <n v="19270"/>
    <n v="0.49473684210526314"/>
    <n v="2.35"/>
    <n v="0.4947368421052632"/>
  </r>
  <r>
    <s v="2025-03"/>
    <x v="0"/>
    <s v="West"/>
    <x v="1"/>
    <s v="Beverage"/>
    <n v="6400"/>
    <n v="5.25"/>
    <n v="33600"/>
    <n v="1.1000000000000001"/>
    <n v="0.25"/>
    <n v="0.85"/>
    <n v="2.2000000000000002"/>
    <n v="14080.000000000002"/>
    <n v="19520"/>
    <n v="0.580952380952381"/>
    <n v="3.05"/>
    <n v="0.58095238095238089"/>
  </r>
  <r>
    <s v="2025-03"/>
    <x v="0"/>
    <s v="West"/>
    <x v="2"/>
    <s v="Food"/>
    <n v="3100"/>
    <n v="6.5"/>
    <n v="20150"/>
    <n v="2.4"/>
    <n v="0.3"/>
    <n v="1.2"/>
    <n v="3.8999999999999995"/>
    <n v="12089.999999999998"/>
    <n v="8060.0000000000018"/>
    <n v="0.40000000000000008"/>
    <n v="2.6000000000000005"/>
    <n v="0.40000000000000008"/>
  </r>
  <r>
    <s v="2025-03"/>
    <x v="0"/>
    <s v="West"/>
    <x v="3"/>
    <s v="Food"/>
    <n v="2700"/>
    <n v="3.75"/>
    <n v="10125"/>
    <n v="1.3"/>
    <n v="0.15"/>
    <n v="0.6"/>
    <n v="2.0499999999999998"/>
    <n v="5534.9999999999991"/>
    <n v="4590.0000000000009"/>
    <n v="0.45333333333333342"/>
    <n v="1.7000000000000002"/>
    <n v="0.45333333333333337"/>
  </r>
  <r>
    <s v="2025-03"/>
    <x v="1"/>
    <s v="East"/>
    <x v="0"/>
    <s v="Beverage"/>
    <n v="7600"/>
    <n v="4.6500000000000004"/>
    <n v="35340"/>
    <n v="1.25"/>
    <n v="0.2"/>
    <n v="0.95"/>
    <n v="2.4"/>
    <n v="18240"/>
    <n v="17100"/>
    <n v="0.4838709677419355"/>
    <n v="2.2500000000000004"/>
    <n v="0.48387096774193555"/>
  </r>
  <r>
    <s v="2025-03"/>
    <x v="1"/>
    <s v="East"/>
    <x v="1"/>
    <s v="Beverage"/>
    <n v="5800"/>
    <n v="5.0999999999999996"/>
    <n v="29579.999999999996"/>
    <n v="1.1000000000000001"/>
    <n v="0.25"/>
    <n v="0.85"/>
    <n v="2.2000000000000002"/>
    <n v="12760.000000000002"/>
    <n v="16819.999999999993"/>
    <n v="0.56862745098039202"/>
    <n v="2.8999999999999995"/>
    <n v="0.56862745098039214"/>
  </r>
  <r>
    <s v="2025-03"/>
    <x v="1"/>
    <s v="East"/>
    <x v="2"/>
    <s v="Food"/>
    <n v="2900"/>
    <n v="6.4"/>
    <n v="18560"/>
    <n v="2.4"/>
    <n v="0.3"/>
    <n v="1.2"/>
    <n v="3.8999999999999995"/>
    <n v="11309.999999999998"/>
    <n v="7250.0000000000018"/>
    <n v="0.39062500000000011"/>
    <n v="2.5000000000000009"/>
    <n v="0.39062500000000011"/>
  </r>
  <r>
    <s v="2025-03"/>
    <x v="1"/>
    <s v="East"/>
    <x v="3"/>
    <s v="Food"/>
    <n v="2500"/>
    <n v="3.65"/>
    <n v="9125"/>
    <n v="1.3"/>
    <n v="0.15"/>
    <n v="0.6"/>
    <n v="2.0499999999999998"/>
    <n v="5125"/>
    <n v="4000"/>
    <n v="0.43835616438356162"/>
    <n v="1.6"/>
    <n v="0.43835616438356168"/>
  </r>
  <r>
    <s v="2025-03"/>
    <x v="2"/>
    <s v="Central"/>
    <x v="0"/>
    <s v="Beverage"/>
    <n v="6900"/>
    <n v="4.7"/>
    <n v="32430"/>
    <n v="1.25"/>
    <n v="0.2"/>
    <n v="0.95"/>
    <n v="2.4"/>
    <n v="16560"/>
    <n v="15870"/>
    <n v="0.48936170212765956"/>
    <n v="2.3000000000000003"/>
    <n v="0.48936170212765961"/>
  </r>
  <r>
    <s v="2025-03"/>
    <x v="2"/>
    <s v="Central"/>
    <x v="1"/>
    <s v="Beverage"/>
    <n v="5100"/>
    <n v="5.15"/>
    <n v="26265"/>
    <n v="1.1000000000000001"/>
    <n v="0.25"/>
    <n v="0.85"/>
    <n v="2.2000000000000002"/>
    <n v="11220"/>
    <n v="15045"/>
    <n v="0.57281553398058249"/>
    <n v="2.95"/>
    <n v="0.57281553398058249"/>
  </r>
  <r>
    <s v="2025-03"/>
    <x v="2"/>
    <s v="Central"/>
    <x v="2"/>
    <s v="Food"/>
    <n v="2600"/>
    <n v="6.45"/>
    <n v="16770"/>
    <n v="2.4"/>
    <n v="0.3"/>
    <n v="1.2"/>
    <n v="3.8999999999999995"/>
    <n v="10139.999999999998"/>
    <n v="6630.0000000000018"/>
    <n v="0.39534883720930242"/>
    <n v="2.5500000000000007"/>
    <n v="0.39534883720930242"/>
  </r>
  <r>
    <s v="2025-03"/>
    <x v="2"/>
    <s v="Central"/>
    <x v="3"/>
    <s v="Food"/>
    <n v="2300"/>
    <n v="3.7"/>
    <n v="8510"/>
    <n v="1.3"/>
    <n v="0.15"/>
    <n v="0.6"/>
    <n v="2.0499999999999998"/>
    <n v="4715"/>
    <n v="3795"/>
    <n v="0.44594594594594594"/>
    <n v="1.6500000000000004"/>
    <n v="0.445945945945946"/>
  </r>
  <r>
    <s v="2025-04"/>
    <x v="0"/>
    <s v="West"/>
    <x v="0"/>
    <s v="Beverage"/>
    <n v="8200"/>
    <n v="4.75"/>
    <n v="38950"/>
    <n v="1.25"/>
    <n v="0.2"/>
    <n v="0.95"/>
    <n v="2.4"/>
    <n v="19680"/>
    <n v="19270"/>
    <n v="0.49473684210526314"/>
    <n v="2.35"/>
    <n v="0.4947368421052632"/>
  </r>
  <r>
    <s v="2025-04"/>
    <x v="0"/>
    <s v="West"/>
    <x v="1"/>
    <s v="Beverage"/>
    <n v="6400"/>
    <n v="5.25"/>
    <n v="33600"/>
    <n v="1.1000000000000001"/>
    <n v="0.25"/>
    <n v="0.85"/>
    <n v="2.2000000000000002"/>
    <n v="14080.000000000002"/>
    <n v="19520"/>
    <n v="0.580952380952381"/>
    <n v="3.05"/>
    <n v="0.58095238095238089"/>
  </r>
  <r>
    <s v="2025-04"/>
    <x v="0"/>
    <s v="West"/>
    <x v="2"/>
    <s v="Food"/>
    <n v="3100"/>
    <n v="6.5"/>
    <n v="20150"/>
    <n v="2.4"/>
    <n v="0.3"/>
    <n v="1.2"/>
    <n v="3.8999999999999995"/>
    <n v="12089.999999999998"/>
    <n v="8060.0000000000018"/>
    <n v="0.40000000000000008"/>
    <n v="2.6000000000000005"/>
    <n v="0.40000000000000008"/>
  </r>
  <r>
    <s v="2025-04"/>
    <x v="0"/>
    <s v="West"/>
    <x v="3"/>
    <s v="Food"/>
    <n v="2700"/>
    <n v="3.75"/>
    <n v="10125"/>
    <n v="1.3"/>
    <n v="0.15"/>
    <n v="0.6"/>
    <n v="2.0499999999999998"/>
    <n v="5534.9999999999991"/>
    <n v="4590.0000000000009"/>
    <n v="0.45333333333333342"/>
    <n v="1.7000000000000002"/>
    <n v="0.45333333333333337"/>
  </r>
  <r>
    <s v="2025-04"/>
    <x v="1"/>
    <s v="East"/>
    <x v="0"/>
    <s v="Beverage"/>
    <n v="7600"/>
    <n v="4.6500000000000004"/>
    <n v="35340"/>
    <n v="1.25"/>
    <n v="0.2"/>
    <n v="0.95"/>
    <n v="2.4"/>
    <n v="18240"/>
    <n v="17100"/>
    <n v="0.4838709677419355"/>
    <n v="2.2500000000000004"/>
    <n v="0.48387096774193555"/>
  </r>
  <r>
    <s v="2025-04"/>
    <x v="1"/>
    <s v="East"/>
    <x v="1"/>
    <s v="Beverage"/>
    <n v="5800"/>
    <n v="5.0999999999999996"/>
    <n v="29579.999999999996"/>
    <n v="1.1000000000000001"/>
    <n v="0.25"/>
    <n v="0.85"/>
    <n v="2.2000000000000002"/>
    <n v="12760.000000000002"/>
    <n v="16819.999999999993"/>
    <n v="0.56862745098039202"/>
    <n v="2.8999999999999995"/>
    <n v="0.56862745098039214"/>
  </r>
  <r>
    <s v="2025-04"/>
    <x v="1"/>
    <s v="East"/>
    <x v="2"/>
    <s v="Food"/>
    <n v="2900"/>
    <n v="6.4"/>
    <n v="18560"/>
    <n v="2.4"/>
    <n v="0.3"/>
    <n v="1.2"/>
    <n v="3.8999999999999995"/>
    <n v="11309.999999999998"/>
    <n v="7250.0000000000018"/>
    <n v="0.39062500000000011"/>
    <n v="2.5000000000000009"/>
    <n v="0.39062500000000011"/>
  </r>
  <r>
    <s v="2025-04"/>
    <x v="1"/>
    <s v="East"/>
    <x v="3"/>
    <s v="Food"/>
    <n v="2500"/>
    <n v="3.65"/>
    <n v="9125"/>
    <n v="1.3"/>
    <n v="0.15"/>
    <n v="0.6"/>
    <n v="2.0499999999999998"/>
    <n v="5125"/>
    <n v="4000"/>
    <n v="0.43835616438356162"/>
    <n v="1.6"/>
    <n v="0.43835616438356168"/>
  </r>
  <r>
    <s v="2025-04"/>
    <x v="2"/>
    <s v="Central"/>
    <x v="0"/>
    <s v="Beverage"/>
    <n v="6900"/>
    <n v="4.7"/>
    <n v="32430"/>
    <n v="1.25"/>
    <n v="0.2"/>
    <n v="0.95"/>
    <n v="2.4"/>
    <n v="16560"/>
    <n v="15870"/>
    <n v="0.48936170212765956"/>
    <n v="2.3000000000000003"/>
    <n v="0.48936170212765961"/>
  </r>
  <r>
    <s v="2025-04"/>
    <x v="2"/>
    <s v="Central"/>
    <x v="1"/>
    <s v="Beverage"/>
    <n v="5100"/>
    <n v="5.15"/>
    <n v="26265"/>
    <n v="1.1000000000000001"/>
    <n v="0.25"/>
    <n v="0.85"/>
    <n v="2.2000000000000002"/>
    <n v="11220"/>
    <n v="15045"/>
    <n v="0.57281553398058249"/>
    <n v="2.95"/>
    <n v="0.57281553398058249"/>
  </r>
  <r>
    <s v="2025-04"/>
    <x v="2"/>
    <s v="Central"/>
    <x v="2"/>
    <s v="Food"/>
    <n v="2600"/>
    <n v="6.45"/>
    <n v="16770"/>
    <n v="2.4"/>
    <n v="0.3"/>
    <n v="1.2"/>
    <n v="3.8999999999999995"/>
    <n v="10139.999999999998"/>
    <n v="6630.0000000000018"/>
    <n v="0.39534883720930242"/>
    <n v="2.5500000000000007"/>
    <n v="0.39534883720930242"/>
  </r>
  <r>
    <s v="2025-04"/>
    <x v="2"/>
    <s v="Central"/>
    <x v="3"/>
    <s v="Food"/>
    <n v="2300"/>
    <n v="3.7"/>
    <n v="8510"/>
    <n v="1.3"/>
    <n v="0.15"/>
    <n v="0.6"/>
    <n v="2.0499999999999998"/>
    <n v="4715"/>
    <n v="3795"/>
    <n v="0.44594594594594594"/>
    <n v="1.6500000000000004"/>
    <n v="0.445945945945946"/>
  </r>
  <r>
    <s v="2025-05"/>
    <x v="0"/>
    <s v="West"/>
    <x v="0"/>
    <s v="Beverage"/>
    <n v="8200"/>
    <n v="4.75"/>
    <n v="38950"/>
    <n v="1.25"/>
    <n v="0.2"/>
    <n v="0.95"/>
    <n v="2.4"/>
    <n v="19680"/>
    <n v="19270"/>
    <n v="0.49473684210526314"/>
    <n v="2.35"/>
    <n v="0.4947368421052632"/>
  </r>
  <r>
    <s v="2025-05"/>
    <x v="0"/>
    <s v="West"/>
    <x v="1"/>
    <s v="Beverage"/>
    <n v="6400"/>
    <n v="5.25"/>
    <n v="33600"/>
    <n v="1.1000000000000001"/>
    <n v="0.25"/>
    <n v="0.85"/>
    <n v="2.2000000000000002"/>
    <n v="14080.000000000002"/>
    <n v="19520"/>
    <n v="0.580952380952381"/>
    <n v="3.05"/>
    <n v="0.58095238095238089"/>
  </r>
  <r>
    <s v="2025-05"/>
    <x v="0"/>
    <s v="West"/>
    <x v="2"/>
    <s v="Food"/>
    <n v="3100"/>
    <n v="6.5"/>
    <n v="20150"/>
    <n v="2.4"/>
    <n v="0.3"/>
    <n v="1.2"/>
    <n v="3.8999999999999995"/>
    <n v="12089.999999999998"/>
    <n v="8060.0000000000018"/>
    <n v="0.40000000000000008"/>
    <n v="2.6000000000000005"/>
    <n v="0.40000000000000008"/>
  </r>
  <r>
    <s v="2025-05"/>
    <x v="0"/>
    <s v="West"/>
    <x v="3"/>
    <s v="Food"/>
    <n v="2700"/>
    <n v="3.75"/>
    <n v="10125"/>
    <n v="1.3"/>
    <n v="0.15"/>
    <n v="0.6"/>
    <n v="2.0499999999999998"/>
    <n v="5534.9999999999991"/>
    <n v="4590.0000000000009"/>
    <n v="0.45333333333333342"/>
    <n v="1.7000000000000002"/>
    <n v="0.45333333333333337"/>
  </r>
  <r>
    <s v="2025-05"/>
    <x v="1"/>
    <s v="East"/>
    <x v="0"/>
    <s v="Beverage"/>
    <n v="7600"/>
    <n v="4.6500000000000004"/>
    <n v="35340"/>
    <n v="1.25"/>
    <n v="0.2"/>
    <n v="0.95"/>
    <n v="2.4"/>
    <n v="18240"/>
    <n v="17100"/>
    <n v="0.4838709677419355"/>
    <n v="2.2500000000000004"/>
    <n v="0.48387096774193555"/>
  </r>
  <r>
    <s v="2025-05"/>
    <x v="1"/>
    <s v="East"/>
    <x v="1"/>
    <s v="Beverage"/>
    <n v="5800"/>
    <n v="5.0999999999999996"/>
    <n v="29579.999999999996"/>
    <n v="1.1000000000000001"/>
    <n v="0.25"/>
    <n v="0.85"/>
    <n v="2.2000000000000002"/>
    <n v="12760.000000000002"/>
    <n v="16819.999999999993"/>
    <n v="0.56862745098039202"/>
    <n v="2.8999999999999995"/>
    <n v="0.56862745098039214"/>
  </r>
  <r>
    <s v="2025-05"/>
    <x v="1"/>
    <s v="East"/>
    <x v="2"/>
    <s v="Food"/>
    <n v="2900"/>
    <n v="6.4"/>
    <n v="18560"/>
    <n v="2.4"/>
    <n v="0.3"/>
    <n v="1.2"/>
    <n v="3.8999999999999995"/>
    <n v="11309.999999999998"/>
    <n v="7250.0000000000018"/>
    <n v="0.39062500000000011"/>
    <n v="2.5000000000000009"/>
    <n v="0.39062500000000011"/>
  </r>
  <r>
    <s v="2025-05"/>
    <x v="1"/>
    <s v="East"/>
    <x v="3"/>
    <s v="Food"/>
    <n v="2500"/>
    <n v="3.65"/>
    <n v="9125"/>
    <n v="1.3"/>
    <n v="0.15"/>
    <n v="0.6"/>
    <n v="2.0499999999999998"/>
    <n v="5125"/>
    <n v="4000"/>
    <n v="0.43835616438356162"/>
    <n v="1.6"/>
    <n v="0.43835616438356168"/>
  </r>
  <r>
    <s v="2025-05"/>
    <x v="2"/>
    <s v="Central"/>
    <x v="0"/>
    <s v="Beverage"/>
    <n v="6900"/>
    <n v="4.7"/>
    <n v="32430"/>
    <n v="1.25"/>
    <n v="0.2"/>
    <n v="0.95"/>
    <n v="2.4"/>
    <n v="16560"/>
    <n v="15870"/>
    <n v="0.48936170212765956"/>
    <n v="2.3000000000000003"/>
    <n v="0.48936170212765961"/>
  </r>
  <r>
    <s v="2025-05"/>
    <x v="2"/>
    <s v="Central"/>
    <x v="1"/>
    <s v="Beverage"/>
    <n v="5100"/>
    <n v="5.15"/>
    <n v="26265"/>
    <n v="1.1000000000000001"/>
    <n v="0.25"/>
    <n v="0.85"/>
    <n v="2.2000000000000002"/>
    <n v="11220"/>
    <n v="15045"/>
    <n v="0.57281553398058249"/>
    <n v="2.95"/>
    <n v="0.57281553398058249"/>
  </r>
  <r>
    <s v="2025-05"/>
    <x v="2"/>
    <s v="Central"/>
    <x v="2"/>
    <s v="Food"/>
    <n v="2600"/>
    <n v="6.45"/>
    <n v="16770"/>
    <n v="2.4"/>
    <n v="0.3"/>
    <n v="1.2"/>
    <n v="3.8999999999999995"/>
    <n v="10139.999999999998"/>
    <n v="6630.0000000000018"/>
    <n v="0.39534883720930242"/>
    <n v="2.5500000000000007"/>
    <n v="0.39534883720930242"/>
  </r>
  <r>
    <s v="2025-05"/>
    <x v="2"/>
    <s v="Central"/>
    <x v="3"/>
    <s v="Food"/>
    <n v="2300"/>
    <n v="3.7"/>
    <n v="8510"/>
    <n v="1.3"/>
    <n v="0.15"/>
    <n v="0.6"/>
    <n v="2.0499999999999998"/>
    <n v="4715"/>
    <n v="3795"/>
    <n v="0.44594594594594594"/>
    <n v="1.6500000000000004"/>
    <n v="0.445945945945946"/>
  </r>
  <r>
    <s v="2025-06"/>
    <x v="0"/>
    <s v="West"/>
    <x v="0"/>
    <s v="Beverage"/>
    <n v="8200"/>
    <n v="4.75"/>
    <n v="38950"/>
    <n v="1.25"/>
    <n v="0.2"/>
    <n v="0.95"/>
    <n v="2.4"/>
    <n v="19680"/>
    <n v="19270"/>
    <n v="0.49473684210526314"/>
    <n v="2.35"/>
    <n v="0.4947368421052632"/>
  </r>
  <r>
    <s v="2025-06"/>
    <x v="0"/>
    <s v="West"/>
    <x v="1"/>
    <s v="Beverage"/>
    <n v="6400"/>
    <n v="5.25"/>
    <n v="33600"/>
    <n v="1.1000000000000001"/>
    <n v="0.25"/>
    <n v="0.85"/>
    <n v="2.2000000000000002"/>
    <n v="14080.000000000002"/>
    <n v="19520"/>
    <n v="0.580952380952381"/>
    <n v="3.05"/>
    <n v="0.58095238095238089"/>
  </r>
  <r>
    <s v="2025-06"/>
    <x v="0"/>
    <s v="West"/>
    <x v="2"/>
    <s v="Food"/>
    <n v="3100"/>
    <n v="6.5"/>
    <n v="20150"/>
    <n v="2.4"/>
    <n v="0.3"/>
    <n v="1.2"/>
    <n v="3.8999999999999995"/>
    <n v="12089.999999999998"/>
    <n v="8060.0000000000018"/>
    <n v="0.40000000000000008"/>
    <n v="2.6000000000000005"/>
    <n v="0.40000000000000008"/>
  </r>
  <r>
    <s v="2025-06"/>
    <x v="0"/>
    <s v="West"/>
    <x v="3"/>
    <s v="Food"/>
    <n v="2700"/>
    <n v="3.75"/>
    <n v="10125"/>
    <n v="1.3"/>
    <n v="0.15"/>
    <n v="0.6"/>
    <n v="2.0499999999999998"/>
    <n v="5534.9999999999991"/>
    <n v="4590.0000000000009"/>
    <n v="0.45333333333333342"/>
    <n v="1.7000000000000002"/>
    <n v="0.45333333333333337"/>
  </r>
  <r>
    <s v="2025-06"/>
    <x v="1"/>
    <s v="East"/>
    <x v="0"/>
    <s v="Beverage"/>
    <n v="7600"/>
    <n v="4.6500000000000004"/>
    <n v="35340"/>
    <n v="1.25"/>
    <n v="0.2"/>
    <n v="0.95"/>
    <n v="2.4"/>
    <n v="18240"/>
    <n v="17100"/>
    <n v="0.4838709677419355"/>
    <n v="2.2500000000000004"/>
    <n v="0.48387096774193555"/>
  </r>
  <r>
    <s v="2025-06"/>
    <x v="1"/>
    <s v="East"/>
    <x v="1"/>
    <s v="Beverage"/>
    <n v="5800"/>
    <n v="5.0999999999999996"/>
    <n v="29579.999999999996"/>
    <n v="1.1000000000000001"/>
    <n v="0.25"/>
    <n v="0.85"/>
    <n v="2.2000000000000002"/>
    <n v="12760.000000000002"/>
    <n v="16819.999999999993"/>
    <n v="0.56862745098039202"/>
    <n v="2.8999999999999995"/>
    <n v="0.56862745098039214"/>
  </r>
  <r>
    <s v="2025-06"/>
    <x v="1"/>
    <s v="East"/>
    <x v="2"/>
    <s v="Food"/>
    <n v="2900"/>
    <n v="6.4"/>
    <n v="18560"/>
    <n v="2.4"/>
    <n v="0.3"/>
    <n v="1.2"/>
    <n v="3.8999999999999995"/>
    <n v="11309.999999999998"/>
    <n v="7250.0000000000018"/>
    <n v="0.39062500000000011"/>
    <n v="2.5000000000000009"/>
    <n v="0.39062500000000011"/>
  </r>
  <r>
    <s v="2025-06"/>
    <x v="1"/>
    <s v="East"/>
    <x v="3"/>
    <s v="Food"/>
    <n v="2500"/>
    <n v="3.65"/>
    <n v="9125"/>
    <n v="1.3"/>
    <n v="0.15"/>
    <n v="0.6"/>
    <n v="2.0499999999999998"/>
    <n v="5125"/>
    <n v="4000"/>
    <n v="0.43835616438356162"/>
    <n v="1.6"/>
    <n v="0.43835616438356168"/>
  </r>
  <r>
    <s v="2025-06"/>
    <x v="2"/>
    <s v="Central"/>
    <x v="0"/>
    <s v="Beverage"/>
    <n v="6900"/>
    <n v="4.7"/>
    <n v="32430"/>
    <n v="1.25"/>
    <n v="0.2"/>
    <n v="0.95"/>
    <n v="2.4"/>
    <n v="16560"/>
    <n v="15870"/>
    <n v="0.48936170212765956"/>
    <n v="2.3000000000000003"/>
    <n v="0.48936170212765961"/>
  </r>
  <r>
    <s v="2025-06"/>
    <x v="2"/>
    <s v="Central"/>
    <x v="1"/>
    <s v="Beverage"/>
    <n v="5100"/>
    <n v="5.15"/>
    <n v="26265"/>
    <n v="1.1000000000000001"/>
    <n v="0.25"/>
    <n v="0.85"/>
    <n v="2.2000000000000002"/>
    <n v="11220"/>
    <n v="15045"/>
    <n v="0.57281553398058249"/>
    <n v="2.95"/>
    <n v="0.57281553398058249"/>
  </r>
  <r>
    <s v="2025-06"/>
    <x v="2"/>
    <s v="Central"/>
    <x v="2"/>
    <s v="Food"/>
    <n v="2600"/>
    <n v="6.45"/>
    <n v="16770"/>
    <n v="2.4"/>
    <n v="0.3"/>
    <n v="1.2"/>
    <n v="3.8999999999999995"/>
    <n v="10139.999999999998"/>
    <n v="6630.0000000000018"/>
    <n v="0.39534883720930242"/>
    <n v="2.5500000000000007"/>
    <n v="0.39534883720930242"/>
  </r>
  <r>
    <s v="2025-06"/>
    <x v="2"/>
    <s v="Central"/>
    <x v="3"/>
    <s v="Food"/>
    <n v="2300"/>
    <n v="3.7"/>
    <n v="8510"/>
    <n v="1.3"/>
    <n v="0.15"/>
    <n v="0.6"/>
    <n v="2.0499999999999998"/>
    <n v="4715"/>
    <n v="3795"/>
    <n v="0.44594594594594594"/>
    <n v="1.6500000000000004"/>
    <n v="0.4459459459459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22F57-FD4F-4447-B6D1-6288AB921B38}" name="Product_Chart_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:K6" firstHeaderRow="1" firstDataRow="1" firstDataCol="1"/>
  <pivotFields count="21"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4" showAll="0"/>
    <pivotField numFmtId="4" showAll="0"/>
    <pivotField showAll="0"/>
    <pivotField showAll="0"/>
    <pivotField showAll="0"/>
    <pivotField numFmtId="2" showAll="0"/>
    <pivotField numFmtId="3" showAll="0"/>
    <pivotField dataField="1" numFmtId="3" showAll="0"/>
    <pivotField numFmtId="164" showAll="0"/>
    <pivotField numFmtId="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Product Gross Profit (Chart)" fld="13" baseField="0" baseItem="0" numFmtId="3"/>
  </dataFields>
  <formats count="4">
    <format dxfId="5">
      <pivotArea field="3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6FF78-49E9-874C-B2A3-80C8D62645B7}" name="Store_Performance_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F12" firstHeaderRow="0" firstDataRow="1" firstDataCol="1"/>
  <pivotFields count="21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3" showAll="0"/>
    <pivotField numFmtId="4" showAll="0"/>
    <pivotField dataField="1" numFmtId="4" showAll="0"/>
    <pivotField showAll="0"/>
    <pivotField showAll="0"/>
    <pivotField showAll="0"/>
    <pivotField numFmtId="2" showAll="0"/>
    <pivotField numFmtId="3" showAll="0"/>
    <pivotField dataField="1" numFmtId="3" showAll="0"/>
    <pivotField numFmtId="164" showAll="0"/>
    <pivotField numFmtId="4" showAll="0"/>
    <pivotField numFmtId="164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Revenue" fld="7" baseField="0" baseItem="0" numFmtId="3"/>
    <dataField name="Total Gross Profit" fld="13" baseField="0" baseItem="0" numFmtId="3"/>
    <dataField name="Total Units Sold" fld="5" baseField="0" baseItem="0" numFmtId="3"/>
    <dataField name="Store Gross Margin %" fld="19" baseField="0" baseItem="0" numFmtId="164"/>
    <dataField name="Revenue per Unit" fld="20" baseField="0" baseItem="0" numFmtId="4"/>
  </dataFields>
  <formats count="4">
    <format dxfId="9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474A5-A2BD-1B4F-A623-24CA5E07603C}" name="Product_Profitability_Pivot_x000a_Product_Profitability_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E6" firstHeaderRow="0" firstDataRow="1" firstDataCol="1"/>
  <pivotFields count="21"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3" showAll="0"/>
    <pivotField numFmtId="4" showAll="0"/>
    <pivotField dataField="1" numFmtId="4" showAll="0"/>
    <pivotField showAll="0"/>
    <pivotField showAll="0"/>
    <pivotField showAll="0"/>
    <pivotField numFmtId="2" showAll="0"/>
    <pivotField numFmtId="3" showAll="0"/>
    <pivotField dataField="1" numFmtId="3" showAll="0"/>
    <pivotField numFmtId="164" showAll="0"/>
    <pivotField numFmtId="4" showAll="0"/>
    <pivotField numFmtId="164"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evenue" fld="7" baseField="0" baseItem="0" numFmtId="3"/>
    <dataField name="Total Gross Profit" fld="13" baseField="0" baseItem="0" numFmtId="3"/>
    <dataField name="Total Units Sold" fld="5" baseField="0" baseItem="0" numFmtId="3"/>
    <dataField name="Gross Profit %" fld="18" baseField="0" baseItem="0" numFmtId="164"/>
  </dataFields>
  <formats count="4">
    <format dxfId="13">
      <pivotArea field="3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4FC45-FF58-5342-97A9-88CBCB26EDD4}" name="Store_Chart_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8:K12" firstHeaderRow="1" firstDataRow="1" firstDataCol="1"/>
  <pivotFields count="21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3" showAll="0"/>
    <pivotField numFmtId="4" showAll="0"/>
    <pivotField numFmtId="4" showAll="0"/>
    <pivotField showAll="0"/>
    <pivotField showAll="0"/>
    <pivotField showAll="0"/>
    <pivotField numFmtId="2" showAll="0"/>
    <pivotField numFmtId="3" showAll="0"/>
    <pivotField numFmtId="3" showAll="0"/>
    <pivotField numFmtId="164" showAll="0"/>
    <pivotField numFmtId="4" showAll="0"/>
    <pivotField numFmtId="164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tore Gross Margin %" fld="19" baseField="0" baseItem="0" numFmtId="164"/>
  </dataFields>
  <formats count="4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A650A-6911-1B40-86FF-A80032AE046B}" name="SalesTable" displayName="SalesTable" ref="A1:Q73" totalsRowShown="0" headerRowDxfId="44" headerRowBorderDxfId="43">
  <autoFilter ref="A1:Q73" xr:uid="{DEAA650A-6911-1B40-86FF-A80032AE046B}"/>
  <tableColumns count="17">
    <tableColumn id="1" xr3:uid="{4F3D5B3C-0D45-7443-A5AB-69BAE28E8846}" name="Date" dataDxfId="42"/>
    <tableColumn id="2" xr3:uid="{A5A0A948-77CC-2A4C-9632-502BE396EDE9}" name="Store_ID" dataDxfId="41"/>
    <tableColumn id="3" xr3:uid="{F90D60BE-C52F-FF46-A1C4-F8759379A7BC}" name="Region" dataDxfId="40"/>
    <tableColumn id="4" xr3:uid="{278B24B2-B54F-954D-8529-DA441CEBEA4B}" name="Product" dataDxfId="39"/>
    <tableColumn id="5" xr3:uid="{E9DA7934-CFC5-744A-8651-91BA8E48ADEE}" name="Category" dataDxfId="38"/>
    <tableColumn id="6" xr3:uid="{5DDE3E24-1C54-824D-85BF-26C158ACE9B0}" name="Units_Sold" dataDxfId="37"/>
    <tableColumn id="7" xr3:uid="{EF5B2DF1-8E9C-BF41-BC3E-25B341E2EE92}" name="Price_per_Unit" dataDxfId="36"/>
    <tableColumn id="8" xr3:uid="{C6829957-6922-D143-BAE6-7AE47950FA7C}" name="Revenue" dataDxfId="35">
      <calculatedColumnFormula>SalesTable[[#This Row],[Units_Sold]]*SalesTable[[#This Row],[Price_per_Unit]]</calculatedColumnFormula>
    </tableColumn>
    <tableColumn id="9" xr3:uid="{963BF568-504A-2448-AA73-581BB5736C44}" name="Ingredient_Cost_per_Unit" dataDxfId="34">
      <calculatedColumnFormula>_xlfn.XLOOKUP(SalesTable[[#This Row],[Product]],CostTable[Product],CostTable[Ingredient_Cost_per_Unit])</calculatedColumnFormula>
    </tableColumn>
    <tableColumn id="10" xr3:uid="{826AB5BA-97C3-0F4A-9551-B571F9F9363B}" name="Packaging_Cost_per_Unit" dataDxfId="33">
      <calculatedColumnFormula>_xlfn.XLOOKUP(SalesTable[[#This Row],[Product]],CostTable[Product],CostTable[Packaging_Cost_per_Unit])</calculatedColumnFormula>
    </tableColumn>
    <tableColumn id="11" xr3:uid="{8B261E7B-50EC-6749-9CFC-93790E928623}" name="Labor_Cost_per_Unit" dataDxfId="32">
      <calculatedColumnFormula>_xlfn.XLOOKUP(SalesTable[[#This Row],[Product]],CostTable[Product],CostTable[Labor_Cost_per_Unit])</calculatedColumnFormula>
    </tableColumn>
    <tableColumn id="12" xr3:uid="{736DB911-8D0C-9F40-8038-0793AA1795BA}" name="Total_Cost_per_Unit" dataDxfId="31">
      <calculatedColumnFormula>SalesTable[[#This Row],[Ingredient_Cost_per_Unit]]+SalesTable[[#This Row],[Packaging_Cost_per_Unit]]+SalesTable[[#This Row],[Labor_Cost_per_Unit]]</calculatedColumnFormula>
    </tableColumn>
    <tableColumn id="13" xr3:uid="{E476B10D-A792-AA4C-AFC1-BE64ACD7AC92}" name="Total_Cost" dataDxfId="30">
      <calculatedColumnFormula>SalesTable[[#This Row],[Units_Sold]]*SalesTable[[#This Row],[Total_Cost_per_Unit]]</calculatedColumnFormula>
    </tableColumn>
    <tableColumn id="14" xr3:uid="{AB2FA45D-B51C-C448-A01E-AD262E1569FE}" name="Gross_Profit" dataDxfId="29">
      <calculatedColumnFormula>SalesTable[[#This Row],[Revenue]]-SalesTable[[#This Row],[Total_Cost]]</calculatedColumnFormula>
    </tableColumn>
    <tableColumn id="15" xr3:uid="{EF804BE0-E95D-CD4B-8F14-AF6D61E16B80}" name="Gross_Margin_%" dataDxfId="28">
      <calculatedColumnFormula>SalesTable[[#This Row],[Gross_Profit]]/SalesTable[[#This Row],[Revenue]]</calculatedColumnFormula>
    </tableColumn>
    <tableColumn id="16" xr3:uid="{EA107358-D0DE-AE40-B51A-507A8DF4A656}" name="Contribution_Margin_per_Unit" dataDxfId="27">
      <calculatedColumnFormula>SalesTable[[#This Row],[Price_per_Unit]]-SalesTable[[#This Row],[Total_Cost_per_Unit]]</calculatedColumnFormula>
    </tableColumn>
    <tableColumn id="17" xr3:uid="{AA04315C-8ECB-7A43-943C-0BD59DDECFF5}" name="Contribution_Margin_%" dataDxfId="26">
      <calculatedColumnFormula>SalesTable[[#This Row],[Contribution_Margin_per_Unit]]/SalesTable[[#This Row],[Price_per_Unit]]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38283-7EB5-4F48-A372-256981AB0630}" name="CostTable" displayName="CostTable" ref="A1:D5" totalsRowShown="0" headerRowDxfId="25" headerRowBorderDxfId="24" tableBorderDxfId="23" totalsRowBorderDxfId="22">
  <autoFilter ref="A1:D5" xr:uid="{EF138283-7EB5-4F48-A372-256981AB0630}"/>
  <tableColumns count="4">
    <tableColumn id="1" xr3:uid="{336A13E4-153B-4845-830C-3BD5C1C63336}" name="Product" dataDxfId="21"/>
    <tableColumn id="2" xr3:uid="{6246630C-612D-CC49-8782-ED4959109C42}" name="Ingredient_Cost_per_Unit" dataDxfId="20"/>
    <tableColumn id="3" xr3:uid="{FEA7CF08-01AE-E643-A7AE-0185FECCFE3A}" name="Packaging_Cost_per_Unit" dataDxfId="19"/>
    <tableColumn id="4" xr3:uid="{569EED2D-048C-FC44-BEAD-CD813602F7DD}" name="Labor_Cost_per_Unit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26AA-A57B-554A-AD9D-00F227BA4195}">
  <dimension ref="A1:X73"/>
  <sheetViews>
    <sheetView zoomScale="120" zoomScaleNormal="120" workbookViewId="0">
      <pane ySplit="1" topLeftCell="A2" activePane="bottomLeft" state="frozen"/>
      <selection pane="bottomLeft" activeCell="D8" sqref="D8"/>
    </sheetView>
  </sheetViews>
  <sheetFormatPr baseColWidth="10" defaultRowHeight="16" x14ac:dyDescent="0.2"/>
  <cols>
    <col min="1" max="1" width="7.83203125" style="1" bestFit="1" customWidth="1"/>
    <col min="2" max="2" width="10.6640625" style="1" bestFit="1" customWidth="1"/>
    <col min="3" max="3" width="9.33203125" style="1" bestFit="1" customWidth="1"/>
    <col min="4" max="4" width="10.1640625" style="1" bestFit="1" customWidth="1"/>
    <col min="5" max="5" width="11.1640625" style="1" bestFit="1" customWidth="1"/>
    <col min="6" max="6" width="12.33203125" style="2" bestFit="1" customWidth="1"/>
    <col min="7" max="7" width="15.6640625" style="3" bestFit="1" customWidth="1"/>
    <col min="8" max="8" width="10.6640625" style="3" bestFit="1" customWidth="1"/>
    <col min="9" max="9" width="24.83203125" bestFit="1" customWidth="1"/>
    <col min="10" max="10" width="25.1640625" bestFit="1" customWidth="1"/>
    <col min="11" max="11" width="21" bestFit="1" customWidth="1"/>
    <col min="12" max="12" width="20.33203125" style="6" bestFit="1" customWidth="1"/>
    <col min="13" max="13" width="12.5" style="2" bestFit="1" customWidth="1"/>
    <col min="14" max="14" width="14.1640625" style="2" bestFit="1" customWidth="1"/>
    <col min="15" max="15" width="17.5" style="7" bestFit="1" customWidth="1"/>
    <col min="16" max="16" width="28.5" bestFit="1" customWidth="1"/>
    <col min="17" max="17" width="23" style="7" bestFit="1" customWidth="1"/>
    <col min="21" max="21" width="7.83203125" bestFit="1" customWidth="1"/>
    <col min="22" max="22" width="9.5" bestFit="1" customWidth="1"/>
    <col min="23" max="23" width="10.33203125" bestFit="1" customWidth="1"/>
    <col min="24" max="24" width="9.1640625" bestFit="1" customWidth="1"/>
  </cols>
  <sheetData>
    <row r="1" spans="1:24" s="4" customForma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1" t="s">
        <v>6</v>
      </c>
      <c r="H1" s="21" t="s">
        <v>32</v>
      </c>
      <c r="I1" s="19" t="s">
        <v>29</v>
      </c>
      <c r="J1" s="19" t="s">
        <v>30</v>
      </c>
      <c r="K1" s="19" t="s">
        <v>31</v>
      </c>
      <c r="L1" s="22" t="s">
        <v>33</v>
      </c>
      <c r="M1" s="20" t="s">
        <v>34</v>
      </c>
      <c r="N1" s="20" t="s">
        <v>35</v>
      </c>
      <c r="O1" s="23" t="s">
        <v>36</v>
      </c>
      <c r="P1" s="19" t="s">
        <v>37</v>
      </c>
      <c r="Q1" s="23" t="s">
        <v>38</v>
      </c>
      <c r="U1" s="17" t="s">
        <v>25</v>
      </c>
      <c r="V1" s="17" t="s">
        <v>26</v>
      </c>
      <c r="W1" s="17" t="s">
        <v>27</v>
      </c>
      <c r="X1" s="17" t="s">
        <v>28</v>
      </c>
    </row>
    <row r="2" spans="1:24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8200</v>
      </c>
      <c r="G2" s="3">
        <v>4.75</v>
      </c>
      <c r="H2" s="3">
        <f>SalesTable[[#This Row],[Units_Sold]]*SalesTable[[#This Row],[Price_per_Unit]]</f>
        <v>38950</v>
      </c>
      <c r="I2" s="4">
        <f>_xlfn.XLOOKUP(SalesTable[[#This Row],[Product]],CostTable[Product],CostTable[Ingredient_Cost_per_Unit])</f>
        <v>1.25</v>
      </c>
      <c r="J2">
        <f>_xlfn.XLOOKUP(SalesTable[[#This Row],[Product]],CostTable[Product],CostTable[Packaging_Cost_per_Unit])</f>
        <v>0.2</v>
      </c>
      <c r="K2">
        <f>_xlfn.XLOOKUP(SalesTable[[#This Row],[Product]],CostTable[Product],CostTable[Labor_Cost_per_Unit])</f>
        <v>0.95</v>
      </c>
      <c r="L2" s="6">
        <f>SalesTable[[#This Row],[Ingredient_Cost_per_Unit]]+SalesTable[[#This Row],[Packaging_Cost_per_Unit]]+SalesTable[[#This Row],[Labor_Cost_per_Unit]]</f>
        <v>2.4</v>
      </c>
      <c r="M2" s="2">
        <f>SalesTable[[#This Row],[Units_Sold]]*SalesTable[[#This Row],[Total_Cost_per_Unit]]</f>
        <v>19680</v>
      </c>
      <c r="N2" s="2">
        <f>SalesTable[[#This Row],[Revenue]]-SalesTable[[#This Row],[Total_Cost]]</f>
        <v>19270</v>
      </c>
      <c r="O2" s="7">
        <f>SalesTable[[#This Row],[Gross_Profit]]/SalesTable[[#This Row],[Revenue]]</f>
        <v>0.49473684210526314</v>
      </c>
      <c r="P2" s="3">
        <f>SalesTable[[#This Row],[Price_per_Unit]]-SalesTable[[#This Row],[Total_Cost_per_Unit]]</f>
        <v>2.35</v>
      </c>
      <c r="Q2" s="7">
        <f>SalesTable[[#This Row],[Contribution_Margin_per_Unit]]/SalesTable[[#This Row],[Price_per_Unit]]</f>
        <v>0.4947368421052632</v>
      </c>
      <c r="U2" t="s">
        <v>9</v>
      </c>
      <c r="V2" t="s">
        <v>10</v>
      </c>
      <c r="W2" t="s">
        <v>11</v>
      </c>
      <c r="X2" t="s">
        <v>8</v>
      </c>
    </row>
    <row r="3" spans="1:24" x14ac:dyDescent="0.2">
      <c r="A3" s="1" t="s">
        <v>7</v>
      </c>
      <c r="B3" s="1" t="s">
        <v>8</v>
      </c>
      <c r="C3" s="1" t="s">
        <v>9</v>
      </c>
      <c r="D3" s="1" t="s">
        <v>12</v>
      </c>
      <c r="E3" s="1" t="s">
        <v>11</v>
      </c>
      <c r="F3" s="2">
        <v>6400</v>
      </c>
      <c r="G3" s="3">
        <v>5.25</v>
      </c>
      <c r="H3" s="3">
        <f>SalesTable[[#This Row],[Units_Sold]]*SalesTable[[#This Row],[Price_per_Unit]]</f>
        <v>33600</v>
      </c>
      <c r="I3">
        <f>_xlfn.XLOOKUP(SalesTable[[#This Row],[Product]],CostTable[Product],CostTable[Ingredient_Cost_per_Unit])</f>
        <v>1.1000000000000001</v>
      </c>
      <c r="J3">
        <f>_xlfn.XLOOKUP(SalesTable[[#This Row],[Product]],CostTable[Product],CostTable[Packaging_Cost_per_Unit])</f>
        <v>0.25</v>
      </c>
      <c r="K3">
        <f>_xlfn.XLOOKUP(SalesTable[[#This Row],[Product]],CostTable[Product],CostTable[Labor_Cost_per_Unit])</f>
        <v>0.85</v>
      </c>
      <c r="L3" s="6">
        <f>SalesTable[[#This Row],[Ingredient_Cost_per_Unit]]+SalesTable[[#This Row],[Packaging_Cost_per_Unit]]+SalesTable[[#This Row],[Labor_Cost_per_Unit]]</f>
        <v>2.2000000000000002</v>
      </c>
      <c r="M3" s="2">
        <f>SalesTable[[#This Row],[Units_Sold]]*SalesTable[[#This Row],[Total_Cost_per_Unit]]</f>
        <v>14080.000000000002</v>
      </c>
      <c r="N3" s="2">
        <f>SalesTable[[#This Row],[Revenue]]-SalesTable[[#This Row],[Total_Cost]]</f>
        <v>19520</v>
      </c>
      <c r="O3" s="7">
        <f>SalesTable[[#This Row],[Gross_Profit]]/SalesTable[[#This Row],[Revenue]]</f>
        <v>0.580952380952381</v>
      </c>
      <c r="P3" s="3">
        <f>SalesTable[[#This Row],[Price_per_Unit]]-SalesTable[[#This Row],[Total_Cost_per_Unit]]</f>
        <v>3.05</v>
      </c>
      <c r="Q3" s="7">
        <f>SalesTable[[#This Row],[Contribution_Margin_per_Unit]]/SalesTable[[#This Row],[Price_per_Unit]]</f>
        <v>0.58095238095238089</v>
      </c>
      <c r="U3" t="s">
        <v>17</v>
      </c>
      <c r="V3" t="s">
        <v>12</v>
      </c>
      <c r="W3" t="s">
        <v>14</v>
      </c>
      <c r="X3" t="s">
        <v>16</v>
      </c>
    </row>
    <row r="4" spans="1:24" x14ac:dyDescent="0.2">
      <c r="A4" s="1" t="s">
        <v>7</v>
      </c>
      <c r="B4" s="1" t="s">
        <v>8</v>
      </c>
      <c r="C4" s="1" t="s">
        <v>9</v>
      </c>
      <c r="D4" s="1" t="s">
        <v>13</v>
      </c>
      <c r="E4" s="1" t="s">
        <v>14</v>
      </c>
      <c r="F4" s="2">
        <v>3100</v>
      </c>
      <c r="G4" s="3">
        <v>6.5</v>
      </c>
      <c r="H4" s="3">
        <f>SalesTable[[#This Row],[Units_Sold]]*SalesTable[[#This Row],[Price_per_Unit]]</f>
        <v>20150</v>
      </c>
      <c r="I4">
        <f>_xlfn.XLOOKUP(SalesTable[[#This Row],[Product]],CostTable[Product],CostTable[Ingredient_Cost_per_Unit])</f>
        <v>2.4</v>
      </c>
      <c r="J4">
        <f>_xlfn.XLOOKUP(SalesTable[[#This Row],[Product]],CostTable[Product],CostTable[Packaging_Cost_per_Unit])</f>
        <v>0.3</v>
      </c>
      <c r="K4">
        <f>_xlfn.XLOOKUP(SalesTable[[#This Row],[Product]],CostTable[Product],CostTable[Labor_Cost_per_Unit])</f>
        <v>1.2</v>
      </c>
      <c r="L4" s="6">
        <f>SalesTable[[#This Row],[Ingredient_Cost_per_Unit]]+SalesTable[[#This Row],[Packaging_Cost_per_Unit]]+SalesTable[[#This Row],[Labor_Cost_per_Unit]]</f>
        <v>3.8999999999999995</v>
      </c>
      <c r="M4" s="2">
        <f>SalesTable[[#This Row],[Units_Sold]]*SalesTable[[#This Row],[Total_Cost_per_Unit]]</f>
        <v>12089.999999999998</v>
      </c>
      <c r="N4" s="2">
        <f>SalesTable[[#This Row],[Revenue]]-SalesTable[[#This Row],[Total_Cost]]</f>
        <v>8060.0000000000018</v>
      </c>
      <c r="O4" s="7">
        <f>SalesTable[[#This Row],[Gross_Profit]]/SalesTable[[#This Row],[Revenue]]</f>
        <v>0.40000000000000008</v>
      </c>
      <c r="P4" s="3">
        <f>SalesTable[[#This Row],[Price_per_Unit]]-SalesTable[[#This Row],[Total_Cost_per_Unit]]</f>
        <v>2.6000000000000005</v>
      </c>
      <c r="Q4" s="7">
        <f>SalesTable[[#This Row],[Contribution_Margin_per_Unit]]/SalesTable[[#This Row],[Price_per_Unit]]</f>
        <v>0.40000000000000008</v>
      </c>
      <c r="U4" t="s">
        <v>19</v>
      </c>
      <c r="V4" t="s">
        <v>13</v>
      </c>
      <c r="X4" t="s">
        <v>18</v>
      </c>
    </row>
    <row r="5" spans="1:24" x14ac:dyDescent="0.2">
      <c r="A5" s="1" t="s">
        <v>7</v>
      </c>
      <c r="B5" s="1" t="s">
        <v>8</v>
      </c>
      <c r="C5" s="1" t="s">
        <v>9</v>
      </c>
      <c r="D5" s="1" t="s">
        <v>15</v>
      </c>
      <c r="E5" s="1" t="s">
        <v>14</v>
      </c>
      <c r="F5" s="2">
        <v>2700</v>
      </c>
      <c r="G5" s="3">
        <v>3.75</v>
      </c>
      <c r="H5" s="3">
        <f>SalesTable[[#This Row],[Units_Sold]]*SalesTable[[#This Row],[Price_per_Unit]]</f>
        <v>10125</v>
      </c>
      <c r="I5">
        <f>_xlfn.XLOOKUP(SalesTable[[#This Row],[Product]],CostTable[Product],CostTable[Ingredient_Cost_per_Unit])</f>
        <v>1.3</v>
      </c>
      <c r="J5">
        <f>_xlfn.XLOOKUP(SalesTable[[#This Row],[Product]],CostTable[Product],CostTable[Packaging_Cost_per_Unit])</f>
        <v>0.15</v>
      </c>
      <c r="K5">
        <f>_xlfn.XLOOKUP(SalesTable[[#This Row],[Product]],CostTable[Product],CostTable[Labor_Cost_per_Unit])</f>
        <v>0.6</v>
      </c>
      <c r="L5" s="6">
        <f>SalesTable[[#This Row],[Ingredient_Cost_per_Unit]]+SalesTable[[#This Row],[Packaging_Cost_per_Unit]]+SalesTable[[#This Row],[Labor_Cost_per_Unit]]</f>
        <v>2.0499999999999998</v>
      </c>
      <c r="M5" s="2">
        <f>SalesTable[[#This Row],[Units_Sold]]*SalesTable[[#This Row],[Total_Cost_per_Unit]]</f>
        <v>5534.9999999999991</v>
      </c>
      <c r="N5" s="2">
        <f>SalesTable[[#This Row],[Revenue]]-SalesTable[[#This Row],[Total_Cost]]</f>
        <v>4590.0000000000009</v>
      </c>
      <c r="O5" s="7">
        <f>SalesTable[[#This Row],[Gross_Profit]]/SalesTable[[#This Row],[Revenue]]</f>
        <v>0.45333333333333342</v>
      </c>
      <c r="P5" s="3">
        <f>SalesTable[[#This Row],[Price_per_Unit]]-SalesTable[[#This Row],[Total_Cost_per_Unit]]</f>
        <v>1.7000000000000002</v>
      </c>
      <c r="Q5" s="7">
        <f>SalesTable[[#This Row],[Contribution_Margin_per_Unit]]/SalesTable[[#This Row],[Price_per_Unit]]</f>
        <v>0.45333333333333337</v>
      </c>
      <c r="V5" t="s">
        <v>15</v>
      </c>
    </row>
    <row r="6" spans="1:24" x14ac:dyDescent="0.2">
      <c r="A6" s="1" t="s">
        <v>7</v>
      </c>
      <c r="B6" s="1" t="s">
        <v>16</v>
      </c>
      <c r="C6" s="1" t="s">
        <v>17</v>
      </c>
      <c r="D6" s="1" t="s">
        <v>10</v>
      </c>
      <c r="E6" s="1" t="s">
        <v>11</v>
      </c>
      <c r="F6" s="2">
        <v>7600</v>
      </c>
      <c r="G6" s="3">
        <v>4.6500000000000004</v>
      </c>
      <c r="H6" s="3">
        <f>SalesTable[[#This Row],[Units_Sold]]*SalesTable[[#This Row],[Price_per_Unit]]</f>
        <v>35340</v>
      </c>
      <c r="I6">
        <f>_xlfn.XLOOKUP(SalesTable[[#This Row],[Product]],CostTable[Product],CostTable[Ingredient_Cost_per_Unit])</f>
        <v>1.25</v>
      </c>
      <c r="J6">
        <f>_xlfn.XLOOKUP(SalesTable[[#This Row],[Product]],CostTable[Product],CostTable[Packaging_Cost_per_Unit])</f>
        <v>0.2</v>
      </c>
      <c r="K6">
        <f>_xlfn.XLOOKUP(SalesTable[[#This Row],[Product]],CostTable[Product],CostTable[Labor_Cost_per_Unit])</f>
        <v>0.95</v>
      </c>
      <c r="L6" s="6">
        <f>SalesTable[[#This Row],[Ingredient_Cost_per_Unit]]+SalesTable[[#This Row],[Packaging_Cost_per_Unit]]+SalesTable[[#This Row],[Labor_Cost_per_Unit]]</f>
        <v>2.4</v>
      </c>
      <c r="M6" s="2">
        <f>SalesTable[[#This Row],[Units_Sold]]*SalesTable[[#This Row],[Total_Cost_per_Unit]]</f>
        <v>18240</v>
      </c>
      <c r="N6" s="2">
        <f>SalesTable[[#This Row],[Revenue]]-SalesTable[[#This Row],[Total_Cost]]</f>
        <v>17100</v>
      </c>
      <c r="O6" s="7">
        <f>SalesTable[[#This Row],[Gross_Profit]]/SalesTable[[#This Row],[Revenue]]</f>
        <v>0.4838709677419355</v>
      </c>
      <c r="P6" s="3">
        <f>SalesTable[[#This Row],[Price_per_Unit]]-SalesTable[[#This Row],[Total_Cost_per_Unit]]</f>
        <v>2.2500000000000004</v>
      </c>
      <c r="Q6" s="7">
        <f>SalesTable[[#This Row],[Contribution_Margin_per_Unit]]/SalesTable[[#This Row],[Price_per_Unit]]</f>
        <v>0.48387096774193555</v>
      </c>
    </row>
    <row r="7" spans="1:24" x14ac:dyDescent="0.2">
      <c r="A7" s="1" t="s">
        <v>7</v>
      </c>
      <c r="B7" s="1" t="s">
        <v>16</v>
      </c>
      <c r="C7" s="1" t="s">
        <v>17</v>
      </c>
      <c r="D7" s="1" t="s">
        <v>12</v>
      </c>
      <c r="E7" s="1" t="s">
        <v>11</v>
      </c>
      <c r="F7" s="2">
        <v>5800</v>
      </c>
      <c r="G7" s="3">
        <v>5.0999999999999996</v>
      </c>
      <c r="H7" s="3">
        <f>SalesTable[[#This Row],[Units_Sold]]*SalesTable[[#This Row],[Price_per_Unit]]</f>
        <v>29579.999999999996</v>
      </c>
      <c r="I7">
        <f>_xlfn.XLOOKUP(SalesTable[[#This Row],[Product]],CostTable[Product],CostTable[Ingredient_Cost_per_Unit])</f>
        <v>1.1000000000000001</v>
      </c>
      <c r="J7">
        <f>_xlfn.XLOOKUP(SalesTable[[#This Row],[Product]],CostTable[Product],CostTable[Packaging_Cost_per_Unit])</f>
        <v>0.25</v>
      </c>
      <c r="K7">
        <f>_xlfn.XLOOKUP(SalesTable[[#This Row],[Product]],CostTable[Product],CostTable[Labor_Cost_per_Unit])</f>
        <v>0.85</v>
      </c>
      <c r="L7" s="6">
        <f>SalesTable[[#This Row],[Ingredient_Cost_per_Unit]]+SalesTable[[#This Row],[Packaging_Cost_per_Unit]]+SalesTable[[#This Row],[Labor_Cost_per_Unit]]</f>
        <v>2.2000000000000002</v>
      </c>
      <c r="M7" s="2">
        <f>SalesTable[[#This Row],[Units_Sold]]*SalesTable[[#This Row],[Total_Cost_per_Unit]]</f>
        <v>12760.000000000002</v>
      </c>
      <c r="N7" s="2">
        <f>SalesTable[[#This Row],[Revenue]]-SalesTable[[#This Row],[Total_Cost]]</f>
        <v>16819.999999999993</v>
      </c>
      <c r="O7" s="7">
        <f>SalesTable[[#This Row],[Gross_Profit]]/SalesTable[[#This Row],[Revenue]]</f>
        <v>0.56862745098039202</v>
      </c>
      <c r="P7" s="3">
        <f>SalesTable[[#This Row],[Price_per_Unit]]-SalesTable[[#This Row],[Total_Cost_per_Unit]]</f>
        <v>2.8999999999999995</v>
      </c>
      <c r="Q7" s="7">
        <f>SalesTable[[#This Row],[Contribution_Margin_per_Unit]]/SalesTable[[#This Row],[Price_per_Unit]]</f>
        <v>0.56862745098039214</v>
      </c>
    </row>
    <row r="8" spans="1:24" x14ac:dyDescent="0.2">
      <c r="A8" s="1" t="s">
        <v>7</v>
      </c>
      <c r="B8" s="1" t="s">
        <v>16</v>
      </c>
      <c r="C8" s="1" t="s">
        <v>17</v>
      </c>
      <c r="D8" s="1" t="s">
        <v>13</v>
      </c>
      <c r="E8" s="1" t="s">
        <v>14</v>
      </c>
      <c r="F8" s="2">
        <v>2900</v>
      </c>
      <c r="G8" s="3">
        <v>6.4</v>
      </c>
      <c r="H8" s="3">
        <f>SalesTable[[#This Row],[Units_Sold]]*SalesTable[[#This Row],[Price_per_Unit]]</f>
        <v>18560</v>
      </c>
      <c r="I8">
        <f>_xlfn.XLOOKUP(SalesTable[[#This Row],[Product]],CostTable[Product],CostTable[Ingredient_Cost_per_Unit])</f>
        <v>2.4</v>
      </c>
      <c r="J8">
        <f>_xlfn.XLOOKUP(SalesTable[[#This Row],[Product]],CostTable[Product],CostTable[Packaging_Cost_per_Unit])</f>
        <v>0.3</v>
      </c>
      <c r="K8">
        <f>_xlfn.XLOOKUP(SalesTable[[#This Row],[Product]],CostTable[Product],CostTable[Labor_Cost_per_Unit])</f>
        <v>1.2</v>
      </c>
      <c r="L8" s="6">
        <f>SalesTable[[#This Row],[Ingredient_Cost_per_Unit]]+SalesTable[[#This Row],[Packaging_Cost_per_Unit]]+SalesTable[[#This Row],[Labor_Cost_per_Unit]]</f>
        <v>3.8999999999999995</v>
      </c>
      <c r="M8" s="2">
        <f>SalesTable[[#This Row],[Units_Sold]]*SalesTable[[#This Row],[Total_Cost_per_Unit]]</f>
        <v>11309.999999999998</v>
      </c>
      <c r="N8" s="2">
        <f>SalesTable[[#This Row],[Revenue]]-SalesTable[[#This Row],[Total_Cost]]</f>
        <v>7250.0000000000018</v>
      </c>
      <c r="O8" s="7">
        <f>SalesTable[[#This Row],[Gross_Profit]]/SalesTable[[#This Row],[Revenue]]</f>
        <v>0.39062500000000011</v>
      </c>
      <c r="P8" s="3">
        <f>SalesTable[[#This Row],[Price_per_Unit]]-SalesTable[[#This Row],[Total_Cost_per_Unit]]</f>
        <v>2.5000000000000009</v>
      </c>
      <c r="Q8" s="7">
        <f>SalesTable[[#This Row],[Contribution_Margin_per_Unit]]/SalesTable[[#This Row],[Price_per_Unit]]</f>
        <v>0.39062500000000011</v>
      </c>
    </row>
    <row r="9" spans="1:24" x14ac:dyDescent="0.2">
      <c r="A9" s="1" t="s">
        <v>7</v>
      </c>
      <c r="B9" s="1" t="s">
        <v>16</v>
      </c>
      <c r="C9" s="1" t="s">
        <v>17</v>
      </c>
      <c r="D9" s="1" t="s">
        <v>15</v>
      </c>
      <c r="E9" s="1" t="s">
        <v>14</v>
      </c>
      <c r="F9" s="2">
        <v>2500</v>
      </c>
      <c r="G9" s="3">
        <v>3.65</v>
      </c>
      <c r="H9" s="3">
        <f>SalesTable[[#This Row],[Units_Sold]]*SalesTable[[#This Row],[Price_per_Unit]]</f>
        <v>9125</v>
      </c>
      <c r="I9">
        <f>_xlfn.XLOOKUP(SalesTable[[#This Row],[Product]],CostTable[Product],CostTable[Ingredient_Cost_per_Unit])</f>
        <v>1.3</v>
      </c>
      <c r="J9">
        <f>_xlfn.XLOOKUP(SalesTable[[#This Row],[Product]],CostTable[Product],CostTable[Packaging_Cost_per_Unit])</f>
        <v>0.15</v>
      </c>
      <c r="K9">
        <f>_xlfn.XLOOKUP(SalesTable[[#This Row],[Product]],CostTable[Product],CostTable[Labor_Cost_per_Unit])</f>
        <v>0.6</v>
      </c>
      <c r="L9" s="6">
        <f>SalesTable[[#This Row],[Ingredient_Cost_per_Unit]]+SalesTable[[#This Row],[Packaging_Cost_per_Unit]]+SalesTable[[#This Row],[Labor_Cost_per_Unit]]</f>
        <v>2.0499999999999998</v>
      </c>
      <c r="M9" s="2">
        <f>SalesTable[[#This Row],[Units_Sold]]*SalesTable[[#This Row],[Total_Cost_per_Unit]]</f>
        <v>5125</v>
      </c>
      <c r="N9" s="2">
        <f>SalesTable[[#This Row],[Revenue]]-SalesTable[[#This Row],[Total_Cost]]</f>
        <v>4000</v>
      </c>
      <c r="O9" s="7">
        <f>SalesTable[[#This Row],[Gross_Profit]]/SalesTable[[#This Row],[Revenue]]</f>
        <v>0.43835616438356162</v>
      </c>
      <c r="P9" s="3">
        <f>SalesTable[[#This Row],[Price_per_Unit]]-SalesTable[[#This Row],[Total_Cost_per_Unit]]</f>
        <v>1.6</v>
      </c>
      <c r="Q9" s="7">
        <f>SalesTable[[#This Row],[Contribution_Margin_per_Unit]]/SalesTable[[#This Row],[Price_per_Unit]]</f>
        <v>0.43835616438356168</v>
      </c>
    </row>
    <row r="10" spans="1:24" x14ac:dyDescent="0.2">
      <c r="A10" s="1" t="s">
        <v>7</v>
      </c>
      <c r="B10" s="1" t="s">
        <v>18</v>
      </c>
      <c r="C10" s="1" t="s">
        <v>19</v>
      </c>
      <c r="D10" s="1" t="s">
        <v>10</v>
      </c>
      <c r="E10" s="1" t="s">
        <v>11</v>
      </c>
      <c r="F10" s="2">
        <v>6900</v>
      </c>
      <c r="G10" s="3">
        <v>4.7</v>
      </c>
      <c r="H10" s="3">
        <f>SalesTable[[#This Row],[Units_Sold]]*SalesTable[[#This Row],[Price_per_Unit]]</f>
        <v>32430</v>
      </c>
      <c r="I10">
        <f>_xlfn.XLOOKUP(SalesTable[[#This Row],[Product]],CostTable[Product],CostTable[Ingredient_Cost_per_Unit])</f>
        <v>1.25</v>
      </c>
      <c r="J10">
        <f>_xlfn.XLOOKUP(SalesTable[[#This Row],[Product]],CostTable[Product],CostTable[Packaging_Cost_per_Unit])</f>
        <v>0.2</v>
      </c>
      <c r="K10">
        <f>_xlfn.XLOOKUP(SalesTable[[#This Row],[Product]],CostTable[Product],CostTable[Labor_Cost_per_Unit])</f>
        <v>0.95</v>
      </c>
      <c r="L10" s="6">
        <f>SalesTable[[#This Row],[Ingredient_Cost_per_Unit]]+SalesTable[[#This Row],[Packaging_Cost_per_Unit]]+SalesTable[[#This Row],[Labor_Cost_per_Unit]]</f>
        <v>2.4</v>
      </c>
      <c r="M10" s="2">
        <f>SalesTable[[#This Row],[Units_Sold]]*SalesTable[[#This Row],[Total_Cost_per_Unit]]</f>
        <v>16560</v>
      </c>
      <c r="N10" s="2">
        <f>SalesTable[[#This Row],[Revenue]]-SalesTable[[#This Row],[Total_Cost]]</f>
        <v>15870</v>
      </c>
      <c r="O10" s="7">
        <f>SalesTable[[#This Row],[Gross_Profit]]/SalesTable[[#This Row],[Revenue]]</f>
        <v>0.48936170212765956</v>
      </c>
      <c r="P10" s="3">
        <f>SalesTable[[#This Row],[Price_per_Unit]]-SalesTable[[#This Row],[Total_Cost_per_Unit]]</f>
        <v>2.3000000000000003</v>
      </c>
      <c r="Q10" s="7">
        <f>SalesTable[[#This Row],[Contribution_Margin_per_Unit]]/SalesTable[[#This Row],[Price_per_Unit]]</f>
        <v>0.48936170212765961</v>
      </c>
    </row>
    <row r="11" spans="1:24" x14ac:dyDescent="0.2">
      <c r="A11" s="1" t="s">
        <v>7</v>
      </c>
      <c r="B11" s="1" t="s">
        <v>18</v>
      </c>
      <c r="C11" s="1" t="s">
        <v>19</v>
      </c>
      <c r="D11" s="1" t="s">
        <v>12</v>
      </c>
      <c r="E11" s="1" t="s">
        <v>11</v>
      </c>
      <c r="F11" s="2">
        <v>5100</v>
      </c>
      <c r="G11" s="3">
        <v>5.15</v>
      </c>
      <c r="H11" s="3">
        <f>SalesTable[[#This Row],[Units_Sold]]*SalesTable[[#This Row],[Price_per_Unit]]</f>
        <v>26265</v>
      </c>
      <c r="I11">
        <f>_xlfn.XLOOKUP(SalesTable[[#This Row],[Product]],CostTable[Product],CostTable[Ingredient_Cost_per_Unit])</f>
        <v>1.1000000000000001</v>
      </c>
      <c r="J11">
        <f>_xlfn.XLOOKUP(SalesTable[[#This Row],[Product]],CostTable[Product],CostTable[Packaging_Cost_per_Unit])</f>
        <v>0.25</v>
      </c>
      <c r="K11">
        <f>_xlfn.XLOOKUP(SalesTable[[#This Row],[Product]],CostTable[Product],CostTable[Labor_Cost_per_Unit])</f>
        <v>0.85</v>
      </c>
      <c r="L11" s="6">
        <f>SalesTable[[#This Row],[Ingredient_Cost_per_Unit]]+SalesTable[[#This Row],[Packaging_Cost_per_Unit]]+SalesTable[[#This Row],[Labor_Cost_per_Unit]]</f>
        <v>2.2000000000000002</v>
      </c>
      <c r="M11" s="2">
        <f>SalesTable[[#This Row],[Units_Sold]]*SalesTable[[#This Row],[Total_Cost_per_Unit]]</f>
        <v>11220</v>
      </c>
      <c r="N11" s="2">
        <f>SalesTable[[#This Row],[Revenue]]-SalesTable[[#This Row],[Total_Cost]]</f>
        <v>15045</v>
      </c>
      <c r="O11" s="7">
        <f>SalesTable[[#This Row],[Gross_Profit]]/SalesTable[[#This Row],[Revenue]]</f>
        <v>0.57281553398058249</v>
      </c>
      <c r="P11" s="3">
        <f>SalesTable[[#This Row],[Price_per_Unit]]-SalesTable[[#This Row],[Total_Cost_per_Unit]]</f>
        <v>2.95</v>
      </c>
      <c r="Q11" s="7">
        <f>SalesTable[[#This Row],[Contribution_Margin_per_Unit]]/SalesTable[[#This Row],[Price_per_Unit]]</f>
        <v>0.57281553398058249</v>
      </c>
    </row>
    <row r="12" spans="1:24" x14ac:dyDescent="0.2">
      <c r="A12" s="1" t="s">
        <v>7</v>
      </c>
      <c r="B12" s="1" t="s">
        <v>18</v>
      </c>
      <c r="C12" s="1" t="s">
        <v>19</v>
      </c>
      <c r="D12" s="1" t="s">
        <v>13</v>
      </c>
      <c r="E12" s="1" t="s">
        <v>14</v>
      </c>
      <c r="F12" s="2">
        <v>2600</v>
      </c>
      <c r="G12" s="3">
        <v>6.45</v>
      </c>
      <c r="H12" s="3">
        <f>SalesTable[[#This Row],[Units_Sold]]*SalesTable[[#This Row],[Price_per_Unit]]</f>
        <v>16770</v>
      </c>
      <c r="I12">
        <f>_xlfn.XLOOKUP(SalesTable[[#This Row],[Product]],CostTable[Product],CostTable[Ingredient_Cost_per_Unit])</f>
        <v>2.4</v>
      </c>
      <c r="J12">
        <f>_xlfn.XLOOKUP(SalesTable[[#This Row],[Product]],CostTable[Product],CostTable[Packaging_Cost_per_Unit])</f>
        <v>0.3</v>
      </c>
      <c r="K12">
        <f>_xlfn.XLOOKUP(SalesTable[[#This Row],[Product]],CostTable[Product],CostTable[Labor_Cost_per_Unit])</f>
        <v>1.2</v>
      </c>
      <c r="L12" s="6">
        <f>SalesTable[[#This Row],[Ingredient_Cost_per_Unit]]+SalesTable[[#This Row],[Packaging_Cost_per_Unit]]+SalesTable[[#This Row],[Labor_Cost_per_Unit]]</f>
        <v>3.8999999999999995</v>
      </c>
      <c r="M12" s="2">
        <f>SalesTable[[#This Row],[Units_Sold]]*SalesTable[[#This Row],[Total_Cost_per_Unit]]</f>
        <v>10139.999999999998</v>
      </c>
      <c r="N12" s="2">
        <f>SalesTable[[#This Row],[Revenue]]-SalesTable[[#This Row],[Total_Cost]]</f>
        <v>6630.0000000000018</v>
      </c>
      <c r="O12" s="7">
        <f>SalesTable[[#This Row],[Gross_Profit]]/SalesTable[[#This Row],[Revenue]]</f>
        <v>0.39534883720930242</v>
      </c>
      <c r="P12" s="3">
        <f>SalesTable[[#This Row],[Price_per_Unit]]-SalesTable[[#This Row],[Total_Cost_per_Unit]]</f>
        <v>2.5500000000000007</v>
      </c>
      <c r="Q12" s="7">
        <f>SalesTable[[#This Row],[Contribution_Margin_per_Unit]]/SalesTable[[#This Row],[Price_per_Unit]]</f>
        <v>0.39534883720930242</v>
      </c>
    </row>
    <row r="13" spans="1:24" x14ac:dyDescent="0.2">
      <c r="A13" s="1" t="s">
        <v>7</v>
      </c>
      <c r="B13" s="1" t="s">
        <v>18</v>
      </c>
      <c r="C13" s="1" t="s">
        <v>19</v>
      </c>
      <c r="D13" s="1" t="s">
        <v>15</v>
      </c>
      <c r="E13" s="1" t="s">
        <v>14</v>
      </c>
      <c r="F13" s="2">
        <v>2300</v>
      </c>
      <c r="G13" s="3">
        <v>3.7</v>
      </c>
      <c r="H13" s="3">
        <f>SalesTable[[#This Row],[Units_Sold]]*SalesTable[[#This Row],[Price_per_Unit]]</f>
        <v>8510</v>
      </c>
      <c r="I13">
        <f>_xlfn.XLOOKUP(SalesTable[[#This Row],[Product]],CostTable[Product],CostTable[Ingredient_Cost_per_Unit])</f>
        <v>1.3</v>
      </c>
      <c r="J13">
        <f>_xlfn.XLOOKUP(SalesTable[[#This Row],[Product]],CostTable[Product],CostTable[Packaging_Cost_per_Unit])</f>
        <v>0.15</v>
      </c>
      <c r="K13">
        <f>_xlfn.XLOOKUP(SalesTable[[#This Row],[Product]],CostTable[Product],CostTable[Labor_Cost_per_Unit])</f>
        <v>0.6</v>
      </c>
      <c r="L13" s="6">
        <f>SalesTable[[#This Row],[Ingredient_Cost_per_Unit]]+SalesTable[[#This Row],[Packaging_Cost_per_Unit]]+SalesTable[[#This Row],[Labor_Cost_per_Unit]]</f>
        <v>2.0499999999999998</v>
      </c>
      <c r="M13" s="2">
        <f>SalesTable[[#This Row],[Units_Sold]]*SalesTable[[#This Row],[Total_Cost_per_Unit]]</f>
        <v>4715</v>
      </c>
      <c r="N13" s="2">
        <f>SalesTable[[#This Row],[Revenue]]-SalesTable[[#This Row],[Total_Cost]]</f>
        <v>3795</v>
      </c>
      <c r="O13" s="7">
        <f>SalesTable[[#This Row],[Gross_Profit]]/SalesTable[[#This Row],[Revenue]]</f>
        <v>0.44594594594594594</v>
      </c>
      <c r="P13" s="3">
        <f>SalesTable[[#This Row],[Price_per_Unit]]-SalesTable[[#This Row],[Total_Cost_per_Unit]]</f>
        <v>1.6500000000000004</v>
      </c>
      <c r="Q13" s="7">
        <f>SalesTable[[#This Row],[Contribution_Margin_per_Unit]]/SalesTable[[#This Row],[Price_per_Unit]]</f>
        <v>0.445945945945946</v>
      </c>
    </row>
    <row r="14" spans="1:24" x14ac:dyDescent="0.2">
      <c r="A14" s="1" t="s">
        <v>20</v>
      </c>
      <c r="B14" s="1" t="s">
        <v>8</v>
      </c>
      <c r="C14" s="1" t="s">
        <v>9</v>
      </c>
      <c r="D14" s="1" t="s">
        <v>10</v>
      </c>
      <c r="E14" s="1" t="s">
        <v>11</v>
      </c>
      <c r="F14" s="2">
        <v>8200</v>
      </c>
      <c r="G14" s="3">
        <v>4.75</v>
      </c>
      <c r="H14" s="3">
        <f>SalesTable[[#This Row],[Units_Sold]]*SalesTable[[#This Row],[Price_per_Unit]]</f>
        <v>38950</v>
      </c>
      <c r="I14">
        <f>_xlfn.XLOOKUP(SalesTable[[#This Row],[Product]],CostTable[Product],CostTable[Ingredient_Cost_per_Unit])</f>
        <v>1.25</v>
      </c>
      <c r="J14">
        <f>_xlfn.XLOOKUP(SalesTable[[#This Row],[Product]],CostTable[Product],CostTable[Packaging_Cost_per_Unit])</f>
        <v>0.2</v>
      </c>
      <c r="K14">
        <f>_xlfn.XLOOKUP(SalesTable[[#This Row],[Product]],CostTable[Product],CostTable[Labor_Cost_per_Unit])</f>
        <v>0.95</v>
      </c>
      <c r="L14" s="6">
        <f>SalesTable[[#This Row],[Ingredient_Cost_per_Unit]]+SalesTable[[#This Row],[Packaging_Cost_per_Unit]]+SalesTable[[#This Row],[Labor_Cost_per_Unit]]</f>
        <v>2.4</v>
      </c>
      <c r="M14" s="2">
        <f>SalesTable[[#This Row],[Units_Sold]]*SalesTable[[#This Row],[Total_Cost_per_Unit]]</f>
        <v>19680</v>
      </c>
      <c r="N14" s="2">
        <f>SalesTable[[#This Row],[Revenue]]-SalesTable[[#This Row],[Total_Cost]]</f>
        <v>19270</v>
      </c>
      <c r="O14" s="7">
        <f>SalesTable[[#This Row],[Gross_Profit]]/SalesTable[[#This Row],[Revenue]]</f>
        <v>0.49473684210526314</v>
      </c>
      <c r="P14" s="3">
        <f>SalesTable[[#This Row],[Price_per_Unit]]-SalesTable[[#This Row],[Total_Cost_per_Unit]]</f>
        <v>2.35</v>
      </c>
      <c r="Q14" s="7">
        <f>SalesTable[[#This Row],[Contribution_Margin_per_Unit]]/SalesTable[[#This Row],[Price_per_Unit]]</f>
        <v>0.4947368421052632</v>
      </c>
    </row>
    <row r="15" spans="1:24" x14ac:dyDescent="0.2">
      <c r="A15" s="1" t="s">
        <v>20</v>
      </c>
      <c r="B15" s="1" t="s">
        <v>8</v>
      </c>
      <c r="C15" s="1" t="s">
        <v>9</v>
      </c>
      <c r="D15" s="1" t="s">
        <v>12</v>
      </c>
      <c r="E15" s="1" t="s">
        <v>11</v>
      </c>
      <c r="F15" s="2">
        <v>6400</v>
      </c>
      <c r="G15" s="3">
        <v>5.25</v>
      </c>
      <c r="H15" s="3">
        <f>SalesTable[[#This Row],[Units_Sold]]*SalesTable[[#This Row],[Price_per_Unit]]</f>
        <v>33600</v>
      </c>
      <c r="I15">
        <f>_xlfn.XLOOKUP(SalesTable[[#This Row],[Product]],CostTable[Product],CostTable[Ingredient_Cost_per_Unit])</f>
        <v>1.1000000000000001</v>
      </c>
      <c r="J15">
        <f>_xlfn.XLOOKUP(SalesTable[[#This Row],[Product]],CostTable[Product],CostTable[Packaging_Cost_per_Unit])</f>
        <v>0.25</v>
      </c>
      <c r="K15">
        <f>_xlfn.XLOOKUP(SalesTable[[#This Row],[Product]],CostTable[Product],CostTable[Labor_Cost_per_Unit])</f>
        <v>0.85</v>
      </c>
      <c r="L15" s="6">
        <f>SalesTable[[#This Row],[Ingredient_Cost_per_Unit]]+SalesTable[[#This Row],[Packaging_Cost_per_Unit]]+SalesTable[[#This Row],[Labor_Cost_per_Unit]]</f>
        <v>2.2000000000000002</v>
      </c>
      <c r="M15" s="2">
        <f>SalesTable[[#This Row],[Units_Sold]]*SalesTable[[#This Row],[Total_Cost_per_Unit]]</f>
        <v>14080.000000000002</v>
      </c>
      <c r="N15" s="2">
        <f>SalesTable[[#This Row],[Revenue]]-SalesTable[[#This Row],[Total_Cost]]</f>
        <v>19520</v>
      </c>
      <c r="O15" s="7">
        <f>SalesTable[[#This Row],[Gross_Profit]]/SalesTable[[#This Row],[Revenue]]</f>
        <v>0.580952380952381</v>
      </c>
      <c r="P15" s="3">
        <f>SalesTable[[#This Row],[Price_per_Unit]]-SalesTable[[#This Row],[Total_Cost_per_Unit]]</f>
        <v>3.05</v>
      </c>
      <c r="Q15" s="7">
        <f>SalesTable[[#This Row],[Contribution_Margin_per_Unit]]/SalesTable[[#This Row],[Price_per_Unit]]</f>
        <v>0.58095238095238089</v>
      </c>
    </row>
    <row r="16" spans="1:24" x14ac:dyDescent="0.2">
      <c r="A16" s="1" t="s">
        <v>20</v>
      </c>
      <c r="B16" s="1" t="s">
        <v>8</v>
      </c>
      <c r="C16" s="1" t="s">
        <v>9</v>
      </c>
      <c r="D16" s="1" t="s">
        <v>13</v>
      </c>
      <c r="E16" s="1" t="s">
        <v>14</v>
      </c>
      <c r="F16" s="2">
        <v>3100</v>
      </c>
      <c r="G16" s="3">
        <v>6.5</v>
      </c>
      <c r="H16" s="3">
        <f>SalesTable[[#This Row],[Units_Sold]]*SalesTable[[#This Row],[Price_per_Unit]]</f>
        <v>20150</v>
      </c>
      <c r="I16">
        <f>_xlfn.XLOOKUP(SalesTable[[#This Row],[Product]],CostTable[Product],CostTable[Ingredient_Cost_per_Unit])</f>
        <v>2.4</v>
      </c>
      <c r="J16">
        <f>_xlfn.XLOOKUP(SalesTable[[#This Row],[Product]],CostTable[Product],CostTable[Packaging_Cost_per_Unit])</f>
        <v>0.3</v>
      </c>
      <c r="K16">
        <f>_xlfn.XLOOKUP(SalesTable[[#This Row],[Product]],CostTable[Product],CostTable[Labor_Cost_per_Unit])</f>
        <v>1.2</v>
      </c>
      <c r="L16" s="6">
        <f>SalesTable[[#This Row],[Ingredient_Cost_per_Unit]]+SalesTable[[#This Row],[Packaging_Cost_per_Unit]]+SalesTable[[#This Row],[Labor_Cost_per_Unit]]</f>
        <v>3.8999999999999995</v>
      </c>
      <c r="M16" s="2">
        <f>SalesTable[[#This Row],[Units_Sold]]*SalesTable[[#This Row],[Total_Cost_per_Unit]]</f>
        <v>12089.999999999998</v>
      </c>
      <c r="N16" s="2">
        <f>SalesTable[[#This Row],[Revenue]]-SalesTable[[#This Row],[Total_Cost]]</f>
        <v>8060.0000000000018</v>
      </c>
      <c r="O16" s="7">
        <f>SalesTable[[#This Row],[Gross_Profit]]/SalesTable[[#This Row],[Revenue]]</f>
        <v>0.40000000000000008</v>
      </c>
      <c r="P16" s="3">
        <f>SalesTable[[#This Row],[Price_per_Unit]]-SalesTable[[#This Row],[Total_Cost_per_Unit]]</f>
        <v>2.6000000000000005</v>
      </c>
      <c r="Q16" s="7">
        <f>SalesTable[[#This Row],[Contribution_Margin_per_Unit]]/SalesTable[[#This Row],[Price_per_Unit]]</f>
        <v>0.40000000000000008</v>
      </c>
    </row>
    <row r="17" spans="1:17" x14ac:dyDescent="0.2">
      <c r="A17" s="1" t="s">
        <v>20</v>
      </c>
      <c r="B17" s="1" t="s">
        <v>8</v>
      </c>
      <c r="C17" s="1" t="s">
        <v>9</v>
      </c>
      <c r="D17" s="1" t="s">
        <v>15</v>
      </c>
      <c r="E17" s="1" t="s">
        <v>14</v>
      </c>
      <c r="F17" s="2">
        <v>2700</v>
      </c>
      <c r="G17" s="3">
        <v>3.75</v>
      </c>
      <c r="H17" s="3">
        <f>SalesTable[[#This Row],[Units_Sold]]*SalesTable[[#This Row],[Price_per_Unit]]</f>
        <v>10125</v>
      </c>
      <c r="I17">
        <f>_xlfn.XLOOKUP(SalesTable[[#This Row],[Product]],CostTable[Product],CostTable[Ingredient_Cost_per_Unit])</f>
        <v>1.3</v>
      </c>
      <c r="J17">
        <f>_xlfn.XLOOKUP(SalesTable[[#This Row],[Product]],CostTable[Product],CostTable[Packaging_Cost_per_Unit])</f>
        <v>0.15</v>
      </c>
      <c r="K17">
        <f>_xlfn.XLOOKUP(SalesTable[[#This Row],[Product]],CostTable[Product],CostTable[Labor_Cost_per_Unit])</f>
        <v>0.6</v>
      </c>
      <c r="L17" s="6">
        <f>SalesTable[[#This Row],[Ingredient_Cost_per_Unit]]+SalesTable[[#This Row],[Packaging_Cost_per_Unit]]+SalesTable[[#This Row],[Labor_Cost_per_Unit]]</f>
        <v>2.0499999999999998</v>
      </c>
      <c r="M17" s="2">
        <f>SalesTable[[#This Row],[Units_Sold]]*SalesTable[[#This Row],[Total_Cost_per_Unit]]</f>
        <v>5534.9999999999991</v>
      </c>
      <c r="N17" s="2">
        <f>SalesTable[[#This Row],[Revenue]]-SalesTable[[#This Row],[Total_Cost]]</f>
        <v>4590.0000000000009</v>
      </c>
      <c r="O17" s="7">
        <f>SalesTable[[#This Row],[Gross_Profit]]/SalesTable[[#This Row],[Revenue]]</f>
        <v>0.45333333333333342</v>
      </c>
      <c r="P17" s="3">
        <f>SalesTable[[#This Row],[Price_per_Unit]]-SalesTable[[#This Row],[Total_Cost_per_Unit]]</f>
        <v>1.7000000000000002</v>
      </c>
      <c r="Q17" s="7">
        <f>SalesTable[[#This Row],[Contribution_Margin_per_Unit]]/SalesTable[[#This Row],[Price_per_Unit]]</f>
        <v>0.45333333333333337</v>
      </c>
    </row>
    <row r="18" spans="1:17" x14ac:dyDescent="0.2">
      <c r="A18" s="1" t="s">
        <v>20</v>
      </c>
      <c r="B18" s="1" t="s">
        <v>16</v>
      </c>
      <c r="C18" s="1" t="s">
        <v>17</v>
      </c>
      <c r="D18" s="1" t="s">
        <v>10</v>
      </c>
      <c r="E18" s="1" t="s">
        <v>11</v>
      </c>
      <c r="F18" s="2">
        <v>7600</v>
      </c>
      <c r="G18" s="3">
        <v>4.6500000000000004</v>
      </c>
      <c r="H18" s="3">
        <f>SalesTable[[#This Row],[Units_Sold]]*SalesTable[[#This Row],[Price_per_Unit]]</f>
        <v>35340</v>
      </c>
      <c r="I18">
        <f>_xlfn.XLOOKUP(SalesTable[[#This Row],[Product]],CostTable[Product],CostTable[Ingredient_Cost_per_Unit])</f>
        <v>1.25</v>
      </c>
      <c r="J18">
        <f>_xlfn.XLOOKUP(SalesTable[[#This Row],[Product]],CostTable[Product],CostTable[Packaging_Cost_per_Unit])</f>
        <v>0.2</v>
      </c>
      <c r="K18">
        <f>_xlfn.XLOOKUP(SalesTable[[#This Row],[Product]],CostTable[Product],CostTable[Labor_Cost_per_Unit])</f>
        <v>0.95</v>
      </c>
      <c r="L18" s="6">
        <f>SalesTable[[#This Row],[Ingredient_Cost_per_Unit]]+SalesTable[[#This Row],[Packaging_Cost_per_Unit]]+SalesTable[[#This Row],[Labor_Cost_per_Unit]]</f>
        <v>2.4</v>
      </c>
      <c r="M18" s="2">
        <f>SalesTable[[#This Row],[Units_Sold]]*SalesTable[[#This Row],[Total_Cost_per_Unit]]</f>
        <v>18240</v>
      </c>
      <c r="N18" s="2">
        <f>SalesTable[[#This Row],[Revenue]]-SalesTable[[#This Row],[Total_Cost]]</f>
        <v>17100</v>
      </c>
      <c r="O18" s="7">
        <f>SalesTable[[#This Row],[Gross_Profit]]/SalesTable[[#This Row],[Revenue]]</f>
        <v>0.4838709677419355</v>
      </c>
      <c r="P18" s="3">
        <f>SalesTable[[#This Row],[Price_per_Unit]]-SalesTable[[#This Row],[Total_Cost_per_Unit]]</f>
        <v>2.2500000000000004</v>
      </c>
      <c r="Q18" s="7">
        <f>SalesTable[[#This Row],[Contribution_Margin_per_Unit]]/SalesTable[[#This Row],[Price_per_Unit]]</f>
        <v>0.48387096774193555</v>
      </c>
    </row>
    <row r="19" spans="1:17" x14ac:dyDescent="0.2">
      <c r="A19" s="1" t="s">
        <v>20</v>
      </c>
      <c r="B19" s="1" t="s">
        <v>16</v>
      </c>
      <c r="C19" s="1" t="s">
        <v>17</v>
      </c>
      <c r="D19" s="1" t="s">
        <v>12</v>
      </c>
      <c r="E19" s="1" t="s">
        <v>11</v>
      </c>
      <c r="F19" s="2">
        <v>5800</v>
      </c>
      <c r="G19" s="3">
        <v>5.0999999999999996</v>
      </c>
      <c r="H19" s="3">
        <f>SalesTable[[#This Row],[Units_Sold]]*SalesTable[[#This Row],[Price_per_Unit]]</f>
        <v>29579.999999999996</v>
      </c>
      <c r="I19">
        <f>_xlfn.XLOOKUP(SalesTable[[#This Row],[Product]],CostTable[Product],CostTable[Ingredient_Cost_per_Unit])</f>
        <v>1.1000000000000001</v>
      </c>
      <c r="J19">
        <f>_xlfn.XLOOKUP(SalesTable[[#This Row],[Product]],CostTable[Product],CostTable[Packaging_Cost_per_Unit])</f>
        <v>0.25</v>
      </c>
      <c r="K19">
        <f>_xlfn.XLOOKUP(SalesTable[[#This Row],[Product]],CostTable[Product],CostTable[Labor_Cost_per_Unit])</f>
        <v>0.85</v>
      </c>
      <c r="L19" s="6">
        <f>SalesTable[[#This Row],[Ingredient_Cost_per_Unit]]+SalesTable[[#This Row],[Packaging_Cost_per_Unit]]+SalesTable[[#This Row],[Labor_Cost_per_Unit]]</f>
        <v>2.2000000000000002</v>
      </c>
      <c r="M19" s="2">
        <f>SalesTable[[#This Row],[Units_Sold]]*SalesTable[[#This Row],[Total_Cost_per_Unit]]</f>
        <v>12760.000000000002</v>
      </c>
      <c r="N19" s="2">
        <f>SalesTable[[#This Row],[Revenue]]-SalesTable[[#This Row],[Total_Cost]]</f>
        <v>16819.999999999993</v>
      </c>
      <c r="O19" s="7">
        <f>SalesTable[[#This Row],[Gross_Profit]]/SalesTable[[#This Row],[Revenue]]</f>
        <v>0.56862745098039202</v>
      </c>
      <c r="P19" s="3">
        <f>SalesTable[[#This Row],[Price_per_Unit]]-SalesTable[[#This Row],[Total_Cost_per_Unit]]</f>
        <v>2.8999999999999995</v>
      </c>
      <c r="Q19" s="7">
        <f>SalesTable[[#This Row],[Contribution_Margin_per_Unit]]/SalesTable[[#This Row],[Price_per_Unit]]</f>
        <v>0.56862745098039214</v>
      </c>
    </row>
    <row r="20" spans="1:17" x14ac:dyDescent="0.2">
      <c r="A20" s="1" t="s">
        <v>20</v>
      </c>
      <c r="B20" s="1" t="s">
        <v>16</v>
      </c>
      <c r="C20" s="1" t="s">
        <v>17</v>
      </c>
      <c r="D20" s="1" t="s">
        <v>13</v>
      </c>
      <c r="E20" s="1" t="s">
        <v>14</v>
      </c>
      <c r="F20" s="2">
        <v>2900</v>
      </c>
      <c r="G20" s="3">
        <v>6.4</v>
      </c>
      <c r="H20" s="3">
        <f>SalesTable[[#This Row],[Units_Sold]]*SalesTable[[#This Row],[Price_per_Unit]]</f>
        <v>18560</v>
      </c>
      <c r="I20">
        <f>_xlfn.XLOOKUP(SalesTable[[#This Row],[Product]],CostTable[Product],CostTable[Ingredient_Cost_per_Unit])</f>
        <v>2.4</v>
      </c>
      <c r="J20">
        <f>_xlfn.XLOOKUP(SalesTable[[#This Row],[Product]],CostTable[Product],CostTable[Packaging_Cost_per_Unit])</f>
        <v>0.3</v>
      </c>
      <c r="K20">
        <f>_xlfn.XLOOKUP(SalesTable[[#This Row],[Product]],CostTable[Product],CostTable[Labor_Cost_per_Unit])</f>
        <v>1.2</v>
      </c>
      <c r="L20" s="6">
        <f>SalesTable[[#This Row],[Ingredient_Cost_per_Unit]]+SalesTable[[#This Row],[Packaging_Cost_per_Unit]]+SalesTable[[#This Row],[Labor_Cost_per_Unit]]</f>
        <v>3.8999999999999995</v>
      </c>
      <c r="M20" s="2">
        <f>SalesTable[[#This Row],[Units_Sold]]*SalesTable[[#This Row],[Total_Cost_per_Unit]]</f>
        <v>11309.999999999998</v>
      </c>
      <c r="N20" s="2">
        <f>SalesTable[[#This Row],[Revenue]]-SalesTable[[#This Row],[Total_Cost]]</f>
        <v>7250.0000000000018</v>
      </c>
      <c r="O20" s="7">
        <f>SalesTable[[#This Row],[Gross_Profit]]/SalesTable[[#This Row],[Revenue]]</f>
        <v>0.39062500000000011</v>
      </c>
      <c r="P20" s="3">
        <f>SalesTable[[#This Row],[Price_per_Unit]]-SalesTable[[#This Row],[Total_Cost_per_Unit]]</f>
        <v>2.5000000000000009</v>
      </c>
      <c r="Q20" s="7">
        <f>SalesTable[[#This Row],[Contribution_Margin_per_Unit]]/SalesTable[[#This Row],[Price_per_Unit]]</f>
        <v>0.39062500000000011</v>
      </c>
    </row>
    <row r="21" spans="1:17" x14ac:dyDescent="0.2">
      <c r="A21" s="1" t="s">
        <v>20</v>
      </c>
      <c r="B21" s="1" t="s">
        <v>16</v>
      </c>
      <c r="C21" s="1" t="s">
        <v>17</v>
      </c>
      <c r="D21" s="1" t="s">
        <v>15</v>
      </c>
      <c r="E21" s="1" t="s">
        <v>14</v>
      </c>
      <c r="F21" s="2">
        <v>2500</v>
      </c>
      <c r="G21" s="3">
        <v>3.65</v>
      </c>
      <c r="H21" s="3">
        <f>SalesTable[[#This Row],[Units_Sold]]*SalesTable[[#This Row],[Price_per_Unit]]</f>
        <v>9125</v>
      </c>
      <c r="I21">
        <f>_xlfn.XLOOKUP(SalesTable[[#This Row],[Product]],CostTable[Product],CostTable[Ingredient_Cost_per_Unit])</f>
        <v>1.3</v>
      </c>
      <c r="J21">
        <f>_xlfn.XLOOKUP(SalesTable[[#This Row],[Product]],CostTable[Product],CostTable[Packaging_Cost_per_Unit])</f>
        <v>0.15</v>
      </c>
      <c r="K21">
        <f>_xlfn.XLOOKUP(SalesTable[[#This Row],[Product]],CostTable[Product],CostTable[Labor_Cost_per_Unit])</f>
        <v>0.6</v>
      </c>
      <c r="L21" s="6">
        <f>SalesTable[[#This Row],[Ingredient_Cost_per_Unit]]+SalesTable[[#This Row],[Packaging_Cost_per_Unit]]+SalesTable[[#This Row],[Labor_Cost_per_Unit]]</f>
        <v>2.0499999999999998</v>
      </c>
      <c r="M21" s="2">
        <f>SalesTable[[#This Row],[Units_Sold]]*SalesTable[[#This Row],[Total_Cost_per_Unit]]</f>
        <v>5125</v>
      </c>
      <c r="N21" s="2">
        <f>SalesTable[[#This Row],[Revenue]]-SalesTable[[#This Row],[Total_Cost]]</f>
        <v>4000</v>
      </c>
      <c r="O21" s="7">
        <f>SalesTable[[#This Row],[Gross_Profit]]/SalesTable[[#This Row],[Revenue]]</f>
        <v>0.43835616438356162</v>
      </c>
      <c r="P21" s="3">
        <f>SalesTable[[#This Row],[Price_per_Unit]]-SalesTable[[#This Row],[Total_Cost_per_Unit]]</f>
        <v>1.6</v>
      </c>
      <c r="Q21" s="7">
        <f>SalesTable[[#This Row],[Contribution_Margin_per_Unit]]/SalesTable[[#This Row],[Price_per_Unit]]</f>
        <v>0.43835616438356168</v>
      </c>
    </row>
    <row r="22" spans="1:17" x14ac:dyDescent="0.2">
      <c r="A22" s="1" t="s">
        <v>20</v>
      </c>
      <c r="B22" s="1" t="s">
        <v>18</v>
      </c>
      <c r="C22" s="1" t="s">
        <v>19</v>
      </c>
      <c r="D22" s="1" t="s">
        <v>10</v>
      </c>
      <c r="E22" s="1" t="s">
        <v>11</v>
      </c>
      <c r="F22" s="2">
        <v>6900</v>
      </c>
      <c r="G22" s="3">
        <v>4.7</v>
      </c>
      <c r="H22" s="3">
        <f>SalesTable[[#This Row],[Units_Sold]]*SalesTable[[#This Row],[Price_per_Unit]]</f>
        <v>32430</v>
      </c>
      <c r="I22">
        <f>_xlfn.XLOOKUP(SalesTable[[#This Row],[Product]],CostTable[Product],CostTable[Ingredient_Cost_per_Unit])</f>
        <v>1.25</v>
      </c>
      <c r="J22">
        <f>_xlfn.XLOOKUP(SalesTable[[#This Row],[Product]],CostTable[Product],CostTable[Packaging_Cost_per_Unit])</f>
        <v>0.2</v>
      </c>
      <c r="K22">
        <f>_xlfn.XLOOKUP(SalesTable[[#This Row],[Product]],CostTable[Product],CostTable[Labor_Cost_per_Unit])</f>
        <v>0.95</v>
      </c>
      <c r="L22" s="6">
        <f>SalesTable[[#This Row],[Ingredient_Cost_per_Unit]]+SalesTable[[#This Row],[Packaging_Cost_per_Unit]]+SalesTable[[#This Row],[Labor_Cost_per_Unit]]</f>
        <v>2.4</v>
      </c>
      <c r="M22" s="2">
        <f>SalesTable[[#This Row],[Units_Sold]]*SalesTable[[#This Row],[Total_Cost_per_Unit]]</f>
        <v>16560</v>
      </c>
      <c r="N22" s="2">
        <f>SalesTable[[#This Row],[Revenue]]-SalesTable[[#This Row],[Total_Cost]]</f>
        <v>15870</v>
      </c>
      <c r="O22" s="7">
        <f>SalesTable[[#This Row],[Gross_Profit]]/SalesTable[[#This Row],[Revenue]]</f>
        <v>0.48936170212765956</v>
      </c>
      <c r="P22" s="3">
        <f>SalesTable[[#This Row],[Price_per_Unit]]-SalesTable[[#This Row],[Total_Cost_per_Unit]]</f>
        <v>2.3000000000000003</v>
      </c>
      <c r="Q22" s="7">
        <f>SalesTable[[#This Row],[Contribution_Margin_per_Unit]]/SalesTable[[#This Row],[Price_per_Unit]]</f>
        <v>0.48936170212765961</v>
      </c>
    </row>
    <row r="23" spans="1:17" x14ac:dyDescent="0.2">
      <c r="A23" s="1" t="s">
        <v>20</v>
      </c>
      <c r="B23" s="1" t="s">
        <v>18</v>
      </c>
      <c r="C23" s="1" t="s">
        <v>19</v>
      </c>
      <c r="D23" s="1" t="s">
        <v>12</v>
      </c>
      <c r="E23" s="1" t="s">
        <v>11</v>
      </c>
      <c r="F23" s="2">
        <v>5100</v>
      </c>
      <c r="G23" s="3">
        <v>5.15</v>
      </c>
      <c r="H23" s="3">
        <f>SalesTable[[#This Row],[Units_Sold]]*SalesTable[[#This Row],[Price_per_Unit]]</f>
        <v>26265</v>
      </c>
      <c r="I23">
        <f>_xlfn.XLOOKUP(SalesTable[[#This Row],[Product]],CostTable[Product],CostTable[Ingredient_Cost_per_Unit])</f>
        <v>1.1000000000000001</v>
      </c>
      <c r="J23">
        <f>_xlfn.XLOOKUP(SalesTable[[#This Row],[Product]],CostTable[Product],CostTable[Packaging_Cost_per_Unit])</f>
        <v>0.25</v>
      </c>
      <c r="K23">
        <f>_xlfn.XLOOKUP(SalesTable[[#This Row],[Product]],CostTable[Product],CostTable[Labor_Cost_per_Unit])</f>
        <v>0.85</v>
      </c>
      <c r="L23" s="6">
        <f>SalesTable[[#This Row],[Ingredient_Cost_per_Unit]]+SalesTable[[#This Row],[Packaging_Cost_per_Unit]]+SalesTable[[#This Row],[Labor_Cost_per_Unit]]</f>
        <v>2.2000000000000002</v>
      </c>
      <c r="M23" s="2">
        <f>SalesTable[[#This Row],[Units_Sold]]*SalesTable[[#This Row],[Total_Cost_per_Unit]]</f>
        <v>11220</v>
      </c>
      <c r="N23" s="2">
        <f>SalesTable[[#This Row],[Revenue]]-SalesTable[[#This Row],[Total_Cost]]</f>
        <v>15045</v>
      </c>
      <c r="O23" s="7">
        <f>SalesTable[[#This Row],[Gross_Profit]]/SalesTable[[#This Row],[Revenue]]</f>
        <v>0.57281553398058249</v>
      </c>
      <c r="P23" s="3">
        <f>SalesTable[[#This Row],[Price_per_Unit]]-SalesTable[[#This Row],[Total_Cost_per_Unit]]</f>
        <v>2.95</v>
      </c>
      <c r="Q23" s="7">
        <f>SalesTable[[#This Row],[Contribution_Margin_per_Unit]]/SalesTable[[#This Row],[Price_per_Unit]]</f>
        <v>0.57281553398058249</v>
      </c>
    </row>
    <row r="24" spans="1:17" x14ac:dyDescent="0.2">
      <c r="A24" s="1" t="s">
        <v>20</v>
      </c>
      <c r="B24" s="1" t="s">
        <v>18</v>
      </c>
      <c r="C24" s="1" t="s">
        <v>19</v>
      </c>
      <c r="D24" s="1" t="s">
        <v>13</v>
      </c>
      <c r="E24" s="1" t="s">
        <v>14</v>
      </c>
      <c r="F24" s="2">
        <v>2600</v>
      </c>
      <c r="G24" s="3">
        <v>6.45</v>
      </c>
      <c r="H24" s="3">
        <f>SalesTable[[#This Row],[Units_Sold]]*SalesTable[[#This Row],[Price_per_Unit]]</f>
        <v>16770</v>
      </c>
      <c r="I24">
        <f>_xlfn.XLOOKUP(SalesTable[[#This Row],[Product]],CostTable[Product],CostTable[Ingredient_Cost_per_Unit])</f>
        <v>2.4</v>
      </c>
      <c r="J24">
        <f>_xlfn.XLOOKUP(SalesTable[[#This Row],[Product]],CostTable[Product],CostTable[Packaging_Cost_per_Unit])</f>
        <v>0.3</v>
      </c>
      <c r="K24">
        <f>_xlfn.XLOOKUP(SalesTable[[#This Row],[Product]],CostTable[Product],CostTable[Labor_Cost_per_Unit])</f>
        <v>1.2</v>
      </c>
      <c r="L24" s="6">
        <f>SalesTable[[#This Row],[Ingredient_Cost_per_Unit]]+SalesTable[[#This Row],[Packaging_Cost_per_Unit]]+SalesTable[[#This Row],[Labor_Cost_per_Unit]]</f>
        <v>3.8999999999999995</v>
      </c>
      <c r="M24" s="2">
        <f>SalesTable[[#This Row],[Units_Sold]]*SalesTable[[#This Row],[Total_Cost_per_Unit]]</f>
        <v>10139.999999999998</v>
      </c>
      <c r="N24" s="2">
        <f>SalesTable[[#This Row],[Revenue]]-SalesTable[[#This Row],[Total_Cost]]</f>
        <v>6630.0000000000018</v>
      </c>
      <c r="O24" s="7">
        <f>SalesTable[[#This Row],[Gross_Profit]]/SalesTable[[#This Row],[Revenue]]</f>
        <v>0.39534883720930242</v>
      </c>
      <c r="P24" s="3">
        <f>SalesTable[[#This Row],[Price_per_Unit]]-SalesTable[[#This Row],[Total_Cost_per_Unit]]</f>
        <v>2.5500000000000007</v>
      </c>
      <c r="Q24" s="7">
        <f>SalesTable[[#This Row],[Contribution_Margin_per_Unit]]/SalesTable[[#This Row],[Price_per_Unit]]</f>
        <v>0.39534883720930242</v>
      </c>
    </row>
    <row r="25" spans="1:17" x14ac:dyDescent="0.2">
      <c r="A25" s="1" t="s">
        <v>20</v>
      </c>
      <c r="B25" s="1" t="s">
        <v>18</v>
      </c>
      <c r="C25" s="1" t="s">
        <v>19</v>
      </c>
      <c r="D25" s="1" t="s">
        <v>15</v>
      </c>
      <c r="E25" s="1" t="s">
        <v>14</v>
      </c>
      <c r="F25" s="2">
        <v>2300</v>
      </c>
      <c r="G25" s="3">
        <v>3.7</v>
      </c>
      <c r="H25" s="3">
        <f>SalesTable[[#This Row],[Units_Sold]]*SalesTable[[#This Row],[Price_per_Unit]]</f>
        <v>8510</v>
      </c>
      <c r="I25">
        <f>_xlfn.XLOOKUP(SalesTable[[#This Row],[Product]],CostTable[Product],CostTable[Ingredient_Cost_per_Unit])</f>
        <v>1.3</v>
      </c>
      <c r="J25">
        <f>_xlfn.XLOOKUP(SalesTable[[#This Row],[Product]],CostTable[Product],CostTable[Packaging_Cost_per_Unit])</f>
        <v>0.15</v>
      </c>
      <c r="K25">
        <f>_xlfn.XLOOKUP(SalesTable[[#This Row],[Product]],CostTable[Product],CostTable[Labor_Cost_per_Unit])</f>
        <v>0.6</v>
      </c>
      <c r="L25" s="6">
        <f>SalesTable[[#This Row],[Ingredient_Cost_per_Unit]]+SalesTable[[#This Row],[Packaging_Cost_per_Unit]]+SalesTable[[#This Row],[Labor_Cost_per_Unit]]</f>
        <v>2.0499999999999998</v>
      </c>
      <c r="M25" s="2">
        <f>SalesTable[[#This Row],[Units_Sold]]*SalesTable[[#This Row],[Total_Cost_per_Unit]]</f>
        <v>4715</v>
      </c>
      <c r="N25" s="2">
        <f>SalesTable[[#This Row],[Revenue]]-SalesTable[[#This Row],[Total_Cost]]</f>
        <v>3795</v>
      </c>
      <c r="O25" s="7">
        <f>SalesTable[[#This Row],[Gross_Profit]]/SalesTable[[#This Row],[Revenue]]</f>
        <v>0.44594594594594594</v>
      </c>
      <c r="P25" s="3">
        <f>SalesTable[[#This Row],[Price_per_Unit]]-SalesTable[[#This Row],[Total_Cost_per_Unit]]</f>
        <v>1.6500000000000004</v>
      </c>
      <c r="Q25" s="7">
        <f>SalesTable[[#This Row],[Contribution_Margin_per_Unit]]/SalesTable[[#This Row],[Price_per_Unit]]</f>
        <v>0.445945945945946</v>
      </c>
    </row>
    <row r="26" spans="1:17" x14ac:dyDescent="0.2">
      <c r="A26" s="1" t="s">
        <v>21</v>
      </c>
      <c r="B26" s="1" t="s">
        <v>8</v>
      </c>
      <c r="C26" s="1" t="s">
        <v>9</v>
      </c>
      <c r="D26" s="1" t="s">
        <v>10</v>
      </c>
      <c r="E26" s="1" t="s">
        <v>11</v>
      </c>
      <c r="F26" s="2">
        <v>8200</v>
      </c>
      <c r="G26" s="3">
        <v>4.75</v>
      </c>
      <c r="H26" s="3">
        <f>SalesTable[[#This Row],[Units_Sold]]*SalesTable[[#This Row],[Price_per_Unit]]</f>
        <v>38950</v>
      </c>
      <c r="I26">
        <f>_xlfn.XLOOKUP(SalesTable[[#This Row],[Product]],CostTable[Product],CostTable[Ingredient_Cost_per_Unit])</f>
        <v>1.25</v>
      </c>
      <c r="J26">
        <f>_xlfn.XLOOKUP(SalesTable[[#This Row],[Product]],CostTable[Product],CostTable[Packaging_Cost_per_Unit])</f>
        <v>0.2</v>
      </c>
      <c r="K26">
        <f>_xlfn.XLOOKUP(SalesTable[[#This Row],[Product]],CostTable[Product],CostTable[Labor_Cost_per_Unit])</f>
        <v>0.95</v>
      </c>
      <c r="L26" s="6">
        <f>SalesTable[[#This Row],[Ingredient_Cost_per_Unit]]+SalesTable[[#This Row],[Packaging_Cost_per_Unit]]+SalesTable[[#This Row],[Labor_Cost_per_Unit]]</f>
        <v>2.4</v>
      </c>
      <c r="M26" s="2">
        <f>SalesTable[[#This Row],[Units_Sold]]*SalesTable[[#This Row],[Total_Cost_per_Unit]]</f>
        <v>19680</v>
      </c>
      <c r="N26" s="2">
        <f>SalesTable[[#This Row],[Revenue]]-SalesTable[[#This Row],[Total_Cost]]</f>
        <v>19270</v>
      </c>
      <c r="O26" s="7">
        <f>SalesTable[[#This Row],[Gross_Profit]]/SalesTable[[#This Row],[Revenue]]</f>
        <v>0.49473684210526314</v>
      </c>
      <c r="P26" s="3">
        <f>SalesTable[[#This Row],[Price_per_Unit]]-SalesTable[[#This Row],[Total_Cost_per_Unit]]</f>
        <v>2.35</v>
      </c>
      <c r="Q26" s="7">
        <f>SalesTable[[#This Row],[Contribution_Margin_per_Unit]]/SalesTable[[#This Row],[Price_per_Unit]]</f>
        <v>0.4947368421052632</v>
      </c>
    </row>
    <row r="27" spans="1:17" x14ac:dyDescent="0.2">
      <c r="A27" s="1" t="s">
        <v>21</v>
      </c>
      <c r="B27" s="1" t="s">
        <v>8</v>
      </c>
      <c r="C27" s="1" t="s">
        <v>9</v>
      </c>
      <c r="D27" s="1" t="s">
        <v>12</v>
      </c>
      <c r="E27" s="1" t="s">
        <v>11</v>
      </c>
      <c r="F27" s="2">
        <v>6400</v>
      </c>
      <c r="G27" s="3">
        <v>5.25</v>
      </c>
      <c r="H27" s="3">
        <f>SalesTable[[#This Row],[Units_Sold]]*SalesTable[[#This Row],[Price_per_Unit]]</f>
        <v>33600</v>
      </c>
      <c r="I27">
        <f>_xlfn.XLOOKUP(SalesTable[[#This Row],[Product]],CostTable[Product],CostTable[Ingredient_Cost_per_Unit])</f>
        <v>1.1000000000000001</v>
      </c>
      <c r="J27">
        <f>_xlfn.XLOOKUP(SalesTable[[#This Row],[Product]],CostTable[Product],CostTable[Packaging_Cost_per_Unit])</f>
        <v>0.25</v>
      </c>
      <c r="K27">
        <f>_xlfn.XLOOKUP(SalesTable[[#This Row],[Product]],CostTable[Product],CostTable[Labor_Cost_per_Unit])</f>
        <v>0.85</v>
      </c>
      <c r="L27" s="6">
        <f>SalesTable[[#This Row],[Ingredient_Cost_per_Unit]]+SalesTable[[#This Row],[Packaging_Cost_per_Unit]]+SalesTable[[#This Row],[Labor_Cost_per_Unit]]</f>
        <v>2.2000000000000002</v>
      </c>
      <c r="M27" s="2">
        <f>SalesTable[[#This Row],[Units_Sold]]*SalesTable[[#This Row],[Total_Cost_per_Unit]]</f>
        <v>14080.000000000002</v>
      </c>
      <c r="N27" s="2">
        <f>SalesTable[[#This Row],[Revenue]]-SalesTable[[#This Row],[Total_Cost]]</f>
        <v>19520</v>
      </c>
      <c r="O27" s="7">
        <f>SalesTable[[#This Row],[Gross_Profit]]/SalesTable[[#This Row],[Revenue]]</f>
        <v>0.580952380952381</v>
      </c>
      <c r="P27" s="3">
        <f>SalesTable[[#This Row],[Price_per_Unit]]-SalesTable[[#This Row],[Total_Cost_per_Unit]]</f>
        <v>3.05</v>
      </c>
      <c r="Q27" s="7">
        <f>SalesTable[[#This Row],[Contribution_Margin_per_Unit]]/SalesTable[[#This Row],[Price_per_Unit]]</f>
        <v>0.58095238095238089</v>
      </c>
    </row>
    <row r="28" spans="1:17" x14ac:dyDescent="0.2">
      <c r="A28" s="1" t="s">
        <v>21</v>
      </c>
      <c r="B28" s="1" t="s">
        <v>8</v>
      </c>
      <c r="C28" s="1" t="s">
        <v>9</v>
      </c>
      <c r="D28" s="1" t="s">
        <v>13</v>
      </c>
      <c r="E28" s="1" t="s">
        <v>14</v>
      </c>
      <c r="F28" s="2">
        <v>3100</v>
      </c>
      <c r="G28" s="3">
        <v>6.5</v>
      </c>
      <c r="H28" s="3">
        <f>SalesTable[[#This Row],[Units_Sold]]*SalesTable[[#This Row],[Price_per_Unit]]</f>
        <v>20150</v>
      </c>
      <c r="I28">
        <f>_xlfn.XLOOKUP(SalesTable[[#This Row],[Product]],CostTable[Product],CostTable[Ingredient_Cost_per_Unit])</f>
        <v>2.4</v>
      </c>
      <c r="J28">
        <f>_xlfn.XLOOKUP(SalesTable[[#This Row],[Product]],CostTable[Product],CostTable[Packaging_Cost_per_Unit])</f>
        <v>0.3</v>
      </c>
      <c r="K28">
        <f>_xlfn.XLOOKUP(SalesTable[[#This Row],[Product]],CostTable[Product],CostTable[Labor_Cost_per_Unit])</f>
        <v>1.2</v>
      </c>
      <c r="L28" s="6">
        <f>SalesTable[[#This Row],[Ingredient_Cost_per_Unit]]+SalesTable[[#This Row],[Packaging_Cost_per_Unit]]+SalesTable[[#This Row],[Labor_Cost_per_Unit]]</f>
        <v>3.8999999999999995</v>
      </c>
      <c r="M28" s="2">
        <f>SalesTable[[#This Row],[Units_Sold]]*SalesTable[[#This Row],[Total_Cost_per_Unit]]</f>
        <v>12089.999999999998</v>
      </c>
      <c r="N28" s="2">
        <f>SalesTable[[#This Row],[Revenue]]-SalesTable[[#This Row],[Total_Cost]]</f>
        <v>8060.0000000000018</v>
      </c>
      <c r="O28" s="7">
        <f>SalesTable[[#This Row],[Gross_Profit]]/SalesTable[[#This Row],[Revenue]]</f>
        <v>0.40000000000000008</v>
      </c>
      <c r="P28" s="3">
        <f>SalesTable[[#This Row],[Price_per_Unit]]-SalesTable[[#This Row],[Total_Cost_per_Unit]]</f>
        <v>2.6000000000000005</v>
      </c>
      <c r="Q28" s="7">
        <f>SalesTable[[#This Row],[Contribution_Margin_per_Unit]]/SalesTable[[#This Row],[Price_per_Unit]]</f>
        <v>0.40000000000000008</v>
      </c>
    </row>
    <row r="29" spans="1:17" x14ac:dyDescent="0.2">
      <c r="A29" s="1" t="s">
        <v>21</v>
      </c>
      <c r="B29" s="1" t="s">
        <v>8</v>
      </c>
      <c r="C29" s="1" t="s">
        <v>9</v>
      </c>
      <c r="D29" s="1" t="s">
        <v>15</v>
      </c>
      <c r="E29" s="1" t="s">
        <v>14</v>
      </c>
      <c r="F29" s="2">
        <v>2700</v>
      </c>
      <c r="G29" s="3">
        <v>3.75</v>
      </c>
      <c r="H29" s="3">
        <f>SalesTable[[#This Row],[Units_Sold]]*SalesTable[[#This Row],[Price_per_Unit]]</f>
        <v>10125</v>
      </c>
      <c r="I29">
        <f>_xlfn.XLOOKUP(SalesTable[[#This Row],[Product]],CostTable[Product],CostTable[Ingredient_Cost_per_Unit])</f>
        <v>1.3</v>
      </c>
      <c r="J29">
        <f>_xlfn.XLOOKUP(SalesTable[[#This Row],[Product]],CostTable[Product],CostTable[Packaging_Cost_per_Unit])</f>
        <v>0.15</v>
      </c>
      <c r="K29">
        <f>_xlfn.XLOOKUP(SalesTable[[#This Row],[Product]],CostTable[Product],CostTable[Labor_Cost_per_Unit])</f>
        <v>0.6</v>
      </c>
      <c r="L29" s="6">
        <f>SalesTable[[#This Row],[Ingredient_Cost_per_Unit]]+SalesTable[[#This Row],[Packaging_Cost_per_Unit]]+SalesTable[[#This Row],[Labor_Cost_per_Unit]]</f>
        <v>2.0499999999999998</v>
      </c>
      <c r="M29" s="2">
        <f>SalesTable[[#This Row],[Units_Sold]]*SalesTable[[#This Row],[Total_Cost_per_Unit]]</f>
        <v>5534.9999999999991</v>
      </c>
      <c r="N29" s="2">
        <f>SalesTable[[#This Row],[Revenue]]-SalesTable[[#This Row],[Total_Cost]]</f>
        <v>4590.0000000000009</v>
      </c>
      <c r="O29" s="7">
        <f>SalesTable[[#This Row],[Gross_Profit]]/SalesTable[[#This Row],[Revenue]]</f>
        <v>0.45333333333333342</v>
      </c>
      <c r="P29" s="3">
        <f>SalesTable[[#This Row],[Price_per_Unit]]-SalesTable[[#This Row],[Total_Cost_per_Unit]]</f>
        <v>1.7000000000000002</v>
      </c>
      <c r="Q29" s="7">
        <f>SalesTable[[#This Row],[Contribution_Margin_per_Unit]]/SalesTable[[#This Row],[Price_per_Unit]]</f>
        <v>0.45333333333333337</v>
      </c>
    </row>
    <row r="30" spans="1:17" x14ac:dyDescent="0.2">
      <c r="A30" s="1" t="s">
        <v>21</v>
      </c>
      <c r="B30" s="1" t="s">
        <v>16</v>
      </c>
      <c r="C30" s="1" t="s">
        <v>17</v>
      </c>
      <c r="D30" s="1" t="s">
        <v>10</v>
      </c>
      <c r="E30" s="1" t="s">
        <v>11</v>
      </c>
      <c r="F30" s="2">
        <v>7600</v>
      </c>
      <c r="G30" s="3">
        <v>4.6500000000000004</v>
      </c>
      <c r="H30" s="3">
        <f>SalesTable[[#This Row],[Units_Sold]]*SalesTable[[#This Row],[Price_per_Unit]]</f>
        <v>35340</v>
      </c>
      <c r="I30">
        <f>_xlfn.XLOOKUP(SalesTable[[#This Row],[Product]],CostTable[Product],CostTable[Ingredient_Cost_per_Unit])</f>
        <v>1.25</v>
      </c>
      <c r="J30">
        <f>_xlfn.XLOOKUP(SalesTable[[#This Row],[Product]],CostTable[Product],CostTable[Packaging_Cost_per_Unit])</f>
        <v>0.2</v>
      </c>
      <c r="K30">
        <f>_xlfn.XLOOKUP(SalesTable[[#This Row],[Product]],CostTable[Product],CostTable[Labor_Cost_per_Unit])</f>
        <v>0.95</v>
      </c>
      <c r="L30" s="6">
        <f>SalesTable[[#This Row],[Ingredient_Cost_per_Unit]]+SalesTable[[#This Row],[Packaging_Cost_per_Unit]]+SalesTable[[#This Row],[Labor_Cost_per_Unit]]</f>
        <v>2.4</v>
      </c>
      <c r="M30" s="2">
        <f>SalesTable[[#This Row],[Units_Sold]]*SalesTable[[#This Row],[Total_Cost_per_Unit]]</f>
        <v>18240</v>
      </c>
      <c r="N30" s="2">
        <f>SalesTable[[#This Row],[Revenue]]-SalesTable[[#This Row],[Total_Cost]]</f>
        <v>17100</v>
      </c>
      <c r="O30" s="7">
        <f>SalesTable[[#This Row],[Gross_Profit]]/SalesTable[[#This Row],[Revenue]]</f>
        <v>0.4838709677419355</v>
      </c>
      <c r="P30" s="3">
        <f>SalesTable[[#This Row],[Price_per_Unit]]-SalesTable[[#This Row],[Total_Cost_per_Unit]]</f>
        <v>2.2500000000000004</v>
      </c>
      <c r="Q30" s="7">
        <f>SalesTable[[#This Row],[Contribution_Margin_per_Unit]]/SalesTable[[#This Row],[Price_per_Unit]]</f>
        <v>0.48387096774193555</v>
      </c>
    </row>
    <row r="31" spans="1:17" x14ac:dyDescent="0.2">
      <c r="A31" s="1" t="s">
        <v>21</v>
      </c>
      <c r="B31" s="1" t="s">
        <v>16</v>
      </c>
      <c r="C31" s="1" t="s">
        <v>17</v>
      </c>
      <c r="D31" s="1" t="s">
        <v>12</v>
      </c>
      <c r="E31" s="1" t="s">
        <v>11</v>
      </c>
      <c r="F31" s="2">
        <v>5800</v>
      </c>
      <c r="G31" s="3">
        <v>5.0999999999999996</v>
      </c>
      <c r="H31" s="3">
        <f>SalesTable[[#This Row],[Units_Sold]]*SalesTable[[#This Row],[Price_per_Unit]]</f>
        <v>29579.999999999996</v>
      </c>
      <c r="I31">
        <f>_xlfn.XLOOKUP(SalesTable[[#This Row],[Product]],CostTable[Product],CostTable[Ingredient_Cost_per_Unit])</f>
        <v>1.1000000000000001</v>
      </c>
      <c r="J31">
        <f>_xlfn.XLOOKUP(SalesTable[[#This Row],[Product]],CostTable[Product],CostTable[Packaging_Cost_per_Unit])</f>
        <v>0.25</v>
      </c>
      <c r="K31">
        <f>_xlfn.XLOOKUP(SalesTable[[#This Row],[Product]],CostTable[Product],CostTable[Labor_Cost_per_Unit])</f>
        <v>0.85</v>
      </c>
      <c r="L31" s="6">
        <f>SalesTable[[#This Row],[Ingredient_Cost_per_Unit]]+SalesTable[[#This Row],[Packaging_Cost_per_Unit]]+SalesTable[[#This Row],[Labor_Cost_per_Unit]]</f>
        <v>2.2000000000000002</v>
      </c>
      <c r="M31" s="2">
        <f>SalesTable[[#This Row],[Units_Sold]]*SalesTable[[#This Row],[Total_Cost_per_Unit]]</f>
        <v>12760.000000000002</v>
      </c>
      <c r="N31" s="2">
        <f>SalesTable[[#This Row],[Revenue]]-SalesTable[[#This Row],[Total_Cost]]</f>
        <v>16819.999999999993</v>
      </c>
      <c r="O31" s="7">
        <f>SalesTable[[#This Row],[Gross_Profit]]/SalesTable[[#This Row],[Revenue]]</f>
        <v>0.56862745098039202</v>
      </c>
      <c r="P31" s="3">
        <f>SalesTable[[#This Row],[Price_per_Unit]]-SalesTable[[#This Row],[Total_Cost_per_Unit]]</f>
        <v>2.8999999999999995</v>
      </c>
      <c r="Q31" s="7">
        <f>SalesTable[[#This Row],[Contribution_Margin_per_Unit]]/SalesTable[[#This Row],[Price_per_Unit]]</f>
        <v>0.56862745098039214</v>
      </c>
    </row>
    <row r="32" spans="1:17" x14ac:dyDescent="0.2">
      <c r="A32" s="1" t="s">
        <v>21</v>
      </c>
      <c r="B32" s="1" t="s">
        <v>16</v>
      </c>
      <c r="C32" s="1" t="s">
        <v>17</v>
      </c>
      <c r="D32" s="1" t="s">
        <v>13</v>
      </c>
      <c r="E32" s="1" t="s">
        <v>14</v>
      </c>
      <c r="F32" s="2">
        <v>2900</v>
      </c>
      <c r="G32" s="3">
        <v>6.4</v>
      </c>
      <c r="H32" s="3">
        <f>SalesTable[[#This Row],[Units_Sold]]*SalesTable[[#This Row],[Price_per_Unit]]</f>
        <v>18560</v>
      </c>
      <c r="I32">
        <f>_xlfn.XLOOKUP(SalesTable[[#This Row],[Product]],CostTable[Product],CostTable[Ingredient_Cost_per_Unit])</f>
        <v>2.4</v>
      </c>
      <c r="J32">
        <f>_xlfn.XLOOKUP(SalesTable[[#This Row],[Product]],CostTable[Product],CostTable[Packaging_Cost_per_Unit])</f>
        <v>0.3</v>
      </c>
      <c r="K32">
        <f>_xlfn.XLOOKUP(SalesTable[[#This Row],[Product]],CostTable[Product],CostTable[Labor_Cost_per_Unit])</f>
        <v>1.2</v>
      </c>
      <c r="L32" s="6">
        <f>SalesTable[[#This Row],[Ingredient_Cost_per_Unit]]+SalesTable[[#This Row],[Packaging_Cost_per_Unit]]+SalesTable[[#This Row],[Labor_Cost_per_Unit]]</f>
        <v>3.8999999999999995</v>
      </c>
      <c r="M32" s="2">
        <f>SalesTable[[#This Row],[Units_Sold]]*SalesTable[[#This Row],[Total_Cost_per_Unit]]</f>
        <v>11309.999999999998</v>
      </c>
      <c r="N32" s="2">
        <f>SalesTable[[#This Row],[Revenue]]-SalesTable[[#This Row],[Total_Cost]]</f>
        <v>7250.0000000000018</v>
      </c>
      <c r="O32" s="7">
        <f>SalesTable[[#This Row],[Gross_Profit]]/SalesTable[[#This Row],[Revenue]]</f>
        <v>0.39062500000000011</v>
      </c>
      <c r="P32" s="3">
        <f>SalesTable[[#This Row],[Price_per_Unit]]-SalesTable[[#This Row],[Total_Cost_per_Unit]]</f>
        <v>2.5000000000000009</v>
      </c>
      <c r="Q32" s="7">
        <f>SalesTable[[#This Row],[Contribution_Margin_per_Unit]]/SalesTable[[#This Row],[Price_per_Unit]]</f>
        <v>0.39062500000000011</v>
      </c>
    </row>
    <row r="33" spans="1:17" x14ac:dyDescent="0.2">
      <c r="A33" s="1" t="s">
        <v>21</v>
      </c>
      <c r="B33" s="1" t="s">
        <v>16</v>
      </c>
      <c r="C33" s="1" t="s">
        <v>17</v>
      </c>
      <c r="D33" s="1" t="s">
        <v>15</v>
      </c>
      <c r="E33" s="1" t="s">
        <v>14</v>
      </c>
      <c r="F33" s="2">
        <v>2500</v>
      </c>
      <c r="G33" s="3">
        <v>3.65</v>
      </c>
      <c r="H33" s="3">
        <f>SalesTable[[#This Row],[Units_Sold]]*SalesTable[[#This Row],[Price_per_Unit]]</f>
        <v>9125</v>
      </c>
      <c r="I33">
        <f>_xlfn.XLOOKUP(SalesTable[[#This Row],[Product]],CostTable[Product],CostTable[Ingredient_Cost_per_Unit])</f>
        <v>1.3</v>
      </c>
      <c r="J33">
        <f>_xlfn.XLOOKUP(SalesTable[[#This Row],[Product]],CostTable[Product],CostTable[Packaging_Cost_per_Unit])</f>
        <v>0.15</v>
      </c>
      <c r="K33">
        <f>_xlfn.XLOOKUP(SalesTable[[#This Row],[Product]],CostTable[Product],CostTable[Labor_Cost_per_Unit])</f>
        <v>0.6</v>
      </c>
      <c r="L33" s="6">
        <f>SalesTable[[#This Row],[Ingredient_Cost_per_Unit]]+SalesTable[[#This Row],[Packaging_Cost_per_Unit]]+SalesTable[[#This Row],[Labor_Cost_per_Unit]]</f>
        <v>2.0499999999999998</v>
      </c>
      <c r="M33" s="2">
        <f>SalesTable[[#This Row],[Units_Sold]]*SalesTable[[#This Row],[Total_Cost_per_Unit]]</f>
        <v>5125</v>
      </c>
      <c r="N33" s="2">
        <f>SalesTable[[#This Row],[Revenue]]-SalesTable[[#This Row],[Total_Cost]]</f>
        <v>4000</v>
      </c>
      <c r="O33" s="7">
        <f>SalesTable[[#This Row],[Gross_Profit]]/SalesTable[[#This Row],[Revenue]]</f>
        <v>0.43835616438356162</v>
      </c>
      <c r="P33" s="3">
        <f>SalesTable[[#This Row],[Price_per_Unit]]-SalesTable[[#This Row],[Total_Cost_per_Unit]]</f>
        <v>1.6</v>
      </c>
      <c r="Q33" s="7">
        <f>SalesTable[[#This Row],[Contribution_Margin_per_Unit]]/SalesTable[[#This Row],[Price_per_Unit]]</f>
        <v>0.43835616438356168</v>
      </c>
    </row>
    <row r="34" spans="1:17" x14ac:dyDescent="0.2">
      <c r="A34" s="1" t="s">
        <v>21</v>
      </c>
      <c r="B34" s="1" t="s">
        <v>18</v>
      </c>
      <c r="C34" s="1" t="s">
        <v>19</v>
      </c>
      <c r="D34" s="1" t="s">
        <v>10</v>
      </c>
      <c r="E34" s="1" t="s">
        <v>11</v>
      </c>
      <c r="F34" s="2">
        <v>6900</v>
      </c>
      <c r="G34" s="3">
        <v>4.7</v>
      </c>
      <c r="H34" s="3">
        <f>SalesTable[[#This Row],[Units_Sold]]*SalesTable[[#This Row],[Price_per_Unit]]</f>
        <v>32430</v>
      </c>
      <c r="I34">
        <f>_xlfn.XLOOKUP(SalesTable[[#This Row],[Product]],CostTable[Product],CostTable[Ingredient_Cost_per_Unit])</f>
        <v>1.25</v>
      </c>
      <c r="J34">
        <f>_xlfn.XLOOKUP(SalesTable[[#This Row],[Product]],CostTable[Product],CostTable[Packaging_Cost_per_Unit])</f>
        <v>0.2</v>
      </c>
      <c r="K34">
        <f>_xlfn.XLOOKUP(SalesTable[[#This Row],[Product]],CostTable[Product],CostTable[Labor_Cost_per_Unit])</f>
        <v>0.95</v>
      </c>
      <c r="L34" s="6">
        <f>SalesTable[[#This Row],[Ingredient_Cost_per_Unit]]+SalesTable[[#This Row],[Packaging_Cost_per_Unit]]+SalesTable[[#This Row],[Labor_Cost_per_Unit]]</f>
        <v>2.4</v>
      </c>
      <c r="M34" s="2">
        <f>SalesTable[[#This Row],[Units_Sold]]*SalesTable[[#This Row],[Total_Cost_per_Unit]]</f>
        <v>16560</v>
      </c>
      <c r="N34" s="2">
        <f>SalesTable[[#This Row],[Revenue]]-SalesTable[[#This Row],[Total_Cost]]</f>
        <v>15870</v>
      </c>
      <c r="O34" s="7">
        <f>SalesTable[[#This Row],[Gross_Profit]]/SalesTable[[#This Row],[Revenue]]</f>
        <v>0.48936170212765956</v>
      </c>
      <c r="P34" s="3">
        <f>SalesTable[[#This Row],[Price_per_Unit]]-SalesTable[[#This Row],[Total_Cost_per_Unit]]</f>
        <v>2.3000000000000003</v>
      </c>
      <c r="Q34" s="7">
        <f>SalesTable[[#This Row],[Contribution_Margin_per_Unit]]/SalesTable[[#This Row],[Price_per_Unit]]</f>
        <v>0.48936170212765961</v>
      </c>
    </row>
    <row r="35" spans="1:17" x14ac:dyDescent="0.2">
      <c r="A35" s="1" t="s">
        <v>21</v>
      </c>
      <c r="B35" s="1" t="s">
        <v>18</v>
      </c>
      <c r="C35" s="1" t="s">
        <v>19</v>
      </c>
      <c r="D35" s="1" t="s">
        <v>12</v>
      </c>
      <c r="E35" s="1" t="s">
        <v>11</v>
      </c>
      <c r="F35" s="2">
        <v>5100</v>
      </c>
      <c r="G35" s="3">
        <v>5.15</v>
      </c>
      <c r="H35" s="3">
        <f>SalesTable[[#This Row],[Units_Sold]]*SalesTable[[#This Row],[Price_per_Unit]]</f>
        <v>26265</v>
      </c>
      <c r="I35">
        <f>_xlfn.XLOOKUP(SalesTable[[#This Row],[Product]],CostTable[Product],CostTable[Ingredient_Cost_per_Unit])</f>
        <v>1.1000000000000001</v>
      </c>
      <c r="J35">
        <f>_xlfn.XLOOKUP(SalesTable[[#This Row],[Product]],CostTable[Product],CostTable[Packaging_Cost_per_Unit])</f>
        <v>0.25</v>
      </c>
      <c r="K35">
        <f>_xlfn.XLOOKUP(SalesTable[[#This Row],[Product]],CostTable[Product],CostTable[Labor_Cost_per_Unit])</f>
        <v>0.85</v>
      </c>
      <c r="L35" s="6">
        <f>SalesTable[[#This Row],[Ingredient_Cost_per_Unit]]+SalesTable[[#This Row],[Packaging_Cost_per_Unit]]+SalesTable[[#This Row],[Labor_Cost_per_Unit]]</f>
        <v>2.2000000000000002</v>
      </c>
      <c r="M35" s="2">
        <f>SalesTable[[#This Row],[Units_Sold]]*SalesTable[[#This Row],[Total_Cost_per_Unit]]</f>
        <v>11220</v>
      </c>
      <c r="N35" s="2">
        <f>SalesTable[[#This Row],[Revenue]]-SalesTable[[#This Row],[Total_Cost]]</f>
        <v>15045</v>
      </c>
      <c r="O35" s="7">
        <f>SalesTable[[#This Row],[Gross_Profit]]/SalesTable[[#This Row],[Revenue]]</f>
        <v>0.57281553398058249</v>
      </c>
      <c r="P35" s="3">
        <f>SalesTable[[#This Row],[Price_per_Unit]]-SalesTable[[#This Row],[Total_Cost_per_Unit]]</f>
        <v>2.95</v>
      </c>
      <c r="Q35" s="7">
        <f>SalesTable[[#This Row],[Contribution_Margin_per_Unit]]/SalesTable[[#This Row],[Price_per_Unit]]</f>
        <v>0.57281553398058249</v>
      </c>
    </row>
    <row r="36" spans="1:17" x14ac:dyDescent="0.2">
      <c r="A36" s="1" t="s">
        <v>21</v>
      </c>
      <c r="B36" s="1" t="s">
        <v>18</v>
      </c>
      <c r="C36" s="1" t="s">
        <v>19</v>
      </c>
      <c r="D36" s="1" t="s">
        <v>13</v>
      </c>
      <c r="E36" s="1" t="s">
        <v>14</v>
      </c>
      <c r="F36" s="2">
        <v>2600</v>
      </c>
      <c r="G36" s="3">
        <v>6.45</v>
      </c>
      <c r="H36" s="3">
        <f>SalesTable[[#This Row],[Units_Sold]]*SalesTable[[#This Row],[Price_per_Unit]]</f>
        <v>16770</v>
      </c>
      <c r="I36">
        <f>_xlfn.XLOOKUP(SalesTable[[#This Row],[Product]],CostTable[Product],CostTable[Ingredient_Cost_per_Unit])</f>
        <v>2.4</v>
      </c>
      <c r="J36">
        <f>_xlfn.XLOOKUP(SalesTable[[#This Row],[Product]],CostTable[Product],CostTable[Packaging_Cost_per_Unit])</f>
        <v>0.3</v>
      </c>
      <c r="K36">
        <f>_xlfn.XLOOKUP(SalesTable[[#This Row],[Product]],CostTable[Product],CostTable[Labor_Cost_per_Unit])</f>
        <v>1.2</v>
      </c>
      <c r="L36" s="6">
        <f>SalesTable[[#This Row],[Ingredient_Cost_per_Unit]]+SalesTable[[#This Row],[Packaging_Cost_per_Unit]]+SalesTable[[#This Row],[Labor_Cost_per_Unit]]</f>
        <v>3.8999999999999995</v>
      </c>
      <c r="M36" s="2">
        <f>SalesTable[[#This Row],[Units_Sold]]*SalesTable[[#This Row],[Total_Cost_per_Unit]]</f>
        <v>10139.999999999998</v>
      </c>
      <c r="N36" s="2">
        <f>SalesTable[[#This Row],[Revenue]]-SalesTable[[#This Row],[Total_Cost]]</f>
        <v>6630.0000000000018</v>
      </c>
      <c r="O36" s="7">
        <f>SalesTable[[#This Row],[Gross_Profit]]/SalesTable[[#This Row],[Revenue]]</f>
        <v>0.39534883720930242</v>
      </c>
      <c r="P36" s="3">
        <f>SalesTable[[#This Row],[Price_per_Unit]]-SalesTable[[#This Row],[Total_Cost_per_Unit]]</f>
        <v>2.5500000000000007</v>
      </c>
      <c r="Q36" s="7">
        <f>SalesTable[[#This Row],[Contribution_Margin_per_Unit]]/SalesTable[[#This Row],[Price_per_Unit]]</f>
        <v>0.39534883720930242</v>
      </c>
    </row>
    <row r="37" spans="1:17" x14ac:dyDescent="0.2">
      <c r="A37" s="1" t="s">
        <v>21</v>
      </c>
      <c r="B37" s="1" t="s">
        <v>18</v>
      </c>
      <c r="C37" s="1" t="s">
        <v>19</v>
      </c>
      <c r="D37" s="1" t="s">
        <v>15</v>
      </c>
      <c r="E37" s="1" t="s">
        <v>14</v>
      </c>
      <c r="F37" s="2">
        <v>2300</v>
      </c>
      <c r="G37" s="3">
        <v>3.7</v>
      </c>
      <c r="H37" s="3">
        <f>SalesTable[[#This Row],[Units_Sold]]*SalesTable[[#This Row],[Price_per_Unit]]</f>
        <v>8510</v>
      </c>
      <c r="I37">
        <f>_xlfn.XLOOKUP(SalesTable[[#This Row],[Product]],CostTable[Product],CostTable[Ingredient_Cost_per_Unit])</f>
        <v>1.3</v>
      </c>
      <c r="J37">
        <f>_xlfn.XLOOKUP(SalesTable[[#This Row],[Product]],CostTable[Product],CostTable[Packaging_Cost_per_Unit])</f>
        <v>0.15</v>
      </c>
      <c r="K37">
        <f>_xlfn.XLOOKUP(SalesTable[[#This Row],[Product]],CostTable[Product],CostTable[Labor_Cost_per_Unit])</f>
        <v>0.6</v>
      </c>
      <c r="L37" s="6">
        <f>SalesTable[[#This Row],[Ingredient_Cost_per_Unit]]+SalesTable[[#This Row],[Packaging_Cost_per_Unit]]+SalesTable[[#This Row],[Labor_Cost_per_Unit]]</f>
        <v>2.0499999999999998</v>
      </c>
      <c r="M37" s="2">
        <f>SalesTable[[#This Row],[Units_Sold]]*SalesTable[[#This Row],[Total_Cost_per_Unit]]</f>
        <v>4715</v>
      </c>
      <c r="N37" s="2">
        <f>SalesTable[[#This Row],[Revenue]]-SalesTable[[#This Row],[Total_Cost]]</f>
        <v>3795</v>
      </c>
      <c r="O37" s="7">
        <f>SalesTable[[#This Row],[Gross_Profit]]/SalesTable[[#This Row],[Revenue]]</f>
        <v>0.44594594594594594</v>
      </c>
      <c r="P37" s="3">
        <f>SalesTable[[#This Row],[Price_per_Unit]]-SalesTable[[#This Row],[Total_Cost_per_Unit]]</f>
        <v>1.6500000000000004</v>
      </c>
      <c r="Q37" s="7">
        <f>SalesTable[[#This Row],[Contribution_Margin_per_Unit]]/SalesTable[[#This Row],[Price_per_Unit]]</f>
        <v>0.445945945945946</v>
      </c>
    </row>
    <row r="38" spans="1:17" x14ac:dyDescent="0.2">
      <c r="A38" s="1" t="s">
        <v>22</v>
      </c>
      <c r="B38" s="1" t="s">
        <v>8</v>
      </c>
      <c r="C38" s="1" t="s">
        <v>9</v>
      </c>
      <c r="D38" s="1" t="s">
        <v>10</v>
      </c>
      <c r="E38" s="1" t="s">
        <v>11</v>
      </c>
      <c r="F38" s="2">
        <v>8200</v>
      </c>
      <c r="G38" s="3">
        <v>4.75</v>
      </c>
      <c r="H38" s="3">
        <f>SalesTable[[#This Row],[Units_Sold]]*SalesTable[[#This Row],[Price_per_Unit]]</f>
        <v>38950</v>
      </c>
      <c r="I38">
        <f>_xlfn.XLOOKUP(SalesTable[[#This Row],[Product]],CostTable[Product],CostTable[Ingredient_Cost_per_Unit])</f>
        <v>1.25</v>
      </c>
      <c r="J38">
        <f>_xlfn.XLOOKUP(SalesTable[[#This Row],[Product]],CostTable[Product],CostTable[Packaging_Cost_per_Unit])</f>
        <v>0.2</v>
      </c>
      <c r="K38">
        <f>_xlfn.XLOOKUP(SalesTable[[#This Row],[Product]],CostTable[Product],CostTable[Labor_Cost_per_Unit])</f>
        <v>0.95</v>
      </c>
      <c r="L38" s="6">
        <f>SalesTable[[#This Row],[Ingredient_Cost_per_Unit]]+SalesTable[[#This Row],[Packaging_Cost_per_Unit]]+SalesTable[[#This Row],[Labor_Cost_per_Unit]]</f>
        <v>2.4</v>
      </c>
      <c r="M38" s="2">
        <f>SalesTable[[#This Row],[Units_Sold]]*SalesTable[[#This Row],[Total_Cost_per_Unit]]</f>
        <v>19680</v>
      </c>
      <c r="N38" s="2">
        <f>SalesTable[[#This Row],[Revenue]]-SalesTable[[#This Row],[Total_Cost]]</f>
        <v>19270</v>
      </c>
      <c r="O38" s="7">
        <f>SalesTable[[#This Row],[Gross_Profit]]/SalesTable[[#This Row],[Revenue]]</f>
        <v>0.49473684210526314</v>
      </c>
      <c r="P38" s="3">
        <f>SalesTable[[#This Row],[Price_per_Unit]]-SalesTable[[#This Row],[Total_Cost_per_Unit]]</f>
        <v>2.35</v>
      </c>
      <c r="Q38" s="7">
        <f>SalesTable[[#This Row],[Contribution_Margin_per_Unit]]/SalesTable[[#This Row],[Price_per_Unit]]</f>
        <v>0.4947368421052632</v>
      </c>
    </row>
    <row r="39" spans="1:17" x14ac:dyDescent="0.2">
      <c r="A39" s="1" t="s">
        <v>22</v>
      </c>
      <c r="B39" s="1" t="s">
        <v>8</v>
      </c>
      <c r="C39" s="1" t="s">
        <v>9</v>
      </c>
      <c r="D39" s="1" t="s">
        <v>12</v>
      </c>
      <c r="E39" s="1" t="s">
        <v>11</v>
      </c>
      <c r="F39" s="2">
        <v>6400</v>
      </c>
      <c r="G39" s="3">
        <v>5.25</v>
      </c>
      <c r="H39" s="3">
        <f>SalesTable[[#This Row],[Units_Sold]]*SalesTable[[#This Row],[Price_per_Unit]]</f>
        <v>33600</v>
      </c>
      <c r="I39">
        <f>_xlfn.XLOOKUP(SalesTable[[#This Row],[Product]],CostTable[Product],CostTable[Ingredient_Cost_per_Unit])</f>
        <v>1.1000000000000001</v>
      </c>
      <c r="J39">
        <f>_xlfn.XLOOKUP(SalesTable[[#This Row],[Product]],CostTable[Product],CostTable[Packaging_Cost_per_Unit])</f>
        <v>0.25</v>
      </c>
      <c r="K39">
        <f>_xlfn.XLOOKUP(SalesTable[[#This Row],[Product]],CostTable[Product],CostTable[Labor_Cost_per_Unit])</f>
        <v>0.85</v>
      </c>
      <c r="L39" s="6">
        <f>SalesTable[[#This Row],[Ingredient_Cost_per_Unit]]+SalesTable[[#This Row],[Packaging_Cost_per_Unit]]+SalesTable[[#This Row],[Labor_Cost_per_Unit]]</f>
        <v>2.2000000000000002</v>
      </c>
      <c r="M39" s="2">
        <f>SalesTable[[#This Row],[Units_Sold]]*SalesTable[[#This Row],[Total_Cost_per_Unit]]</f>
        <v>14080.000000000002</v>
      </c>
      <c r="N39" s="2">
        <f>SalesTable[[#This Row],[Revenue]]-SalesTable[[#This Row],[Total_Cost]]</f>
        <v>19520</v>
      </c>
      <c r="O39" s="7">
        <f>SalesTable[[#This Row],[Gross_Profit]]/SalesTable[[#This Row],[Revenue]]</f>
        <v>0.580952380952381</v>
      </c>
      <c r="P39" s="3">
        <f>SalesTable[[#This Row],[Price_per_Unit]]-SalesTable[[#This Row],[Total_Cost_per_Unit]]</f>
        <v>3.05</v>
      </c>
      <c r="Q39" s="7">
        <f>SalesTable[[#This Row],[Contribution_Margin_per_Unit]]/SalesTable[[#This Row],[Price_per_Unit]]</f>
        <v>0.58095238095238089</v>
      </c>
    </row>
    <row r="40" spans="1:17" x14ac:dyDescent="0.2">
      <c r="A40" s="1" t="s">
        <v>22</v>
      </c>
      <c r="B40" s="1" t="s">
        <v>8</v>
      </c>
      <c r="C40" s="1" t="s">
        <v>9</v>
      </c>
      <c r="D40" s="1" t="s">
        <v>13</v>
      </c>
      <c r="E40" s="1" t="s">
        <v>14</v>
      </c>
      <c r="F40" s="2">
        <v>3100</v>
      </c>
      <c r="G40" s="3">
        <v>6.5</v>
      </c>
      <c r="H40" s="3">
        <f>SalesTable[[#This Row],[Units_Sold]]*SalesTable[[#This Row],[Price_per_Unit]]</f>
        <v>20150</v>
      </c>
      <c r="I40">
        <f>_xlfn.XLOOKUP(SalesTable[[#This Row],[Product]],CostTable[Product],CostTable[Ingredient_Cost_per_Unit])</f>
        <v>2.4</v>
      </c>
      <c r="J40">
        <f>_xlfn.XLOOKUP(SalesTable[[#This Row],[Product]],CostTable[Product],CostTable[Packaging_Cost_per_Unit])</f>
        <v>0.3</v>
      </c>
      <c r="K40">
        <f>_xlfn.XLOOKUP(SalesTable[[#This Row],[Product]],CostTable[Product],CostTable[Labor_Cost_per_Unit])</f>
        <v>1.2</v>
      </c>
      <c r="L40" s="6">
        <f>SalesTable[[#This Row],[Ingredient_Cost_per_Unit]]+SalesTable[[#This Row],[Packaging_Cost_per_Unit]]+SalesTable[[#This Row],[Labor_Cost_per_Unit]]</f>
        <v>3.8999999999999995</v>
      </c>
      <c r="M40" s="2">
        <f>SalesTable[[#This Row],[Units_Sold]]*SalesTable[[#This Row],[Total_Cost_per_Unit]]</f>
        <v>12089.999999999998</v>
      </c>
      <c r="N40" s="2">
        <f>SalesTable[[#This Row],[Revenue]]-SalesTable[[#This Row],[Total_Cost]]</f>
        <v>8060.0000000000018</v>
      </c>
      <c r="O40" s="7">
        <f>SalesTable[[#This Row],[Gross_Profit]]/SalesTable[[#This Row],[Revenue]]</f>
        <v>0.40000000000000008</v>
      </c>
      <c r="P40" s="3">
        <f>SalesTable[[#This Row],[Price_per_Unit]]-SalesTable[[#This Row],[Total_Cost_per_Unit]]</f>
        <v>2.6000000000000005</v>
      </c>
      <c r="Q40" s="7">
        <f>SalesTable[[#This Row],[Contribution_Margin_per_Unit]]/SalesTable[[#This Row],[Price_per_Unit]]</f>
        <v>0.40000000000000008</v>
      </c>
    </row>
    <row r="41" spans="1:17" x14ac:dyDescent="0.2">
      <c r="A41" s="1" t="s">
        <v>22</v>
      </c>
      <c r="B41" s="1" t="s">
        <v>8</v>
      </c>
      <c r="C41" s="1" t="s">
        <v>9</v>
      </c>
      <c r="D41" s="1" t="s">
        <v>15</v>
      </c>
      <c r="E41" s="1" t="s">
        <v>14</v>
      </c>
      <c r="F41" s="2">
        <v>2700</v>
      </c>
      <c r="G41" s="3">
        <v>3.75</v>
      </c>
      <c r="H41" s="3">
        <f>SalesTable[[#This Row],[Units_Sold]]*SalesTable[[#This Row],[Price_per_Unit]]</f>
        <v>10125</v>
      </c>
      <c r="I41">
        <f>_xlfn.XLOOKUP(SalesTable[[#This Row],[Product]],CostTable[Product],CostTable[Ingredient_Cost_per_Unit])</f>
        <v>1.3</v>
      </c>
      <c r="J41">
        <f>_xlfn.XLOOKUP(SalesTable[[#This Row],[Product]],CostTable[Product],CostTable[Packaging_Cost_per_Unit])</f>
        <v>0.15</v>
      </c>
      <c r="K41">
        <f>_xlfn.XLOOKUP(SalesTable[[#This Row],[Product]],CostTable[Product],CostTable[Labor_Cost_per_Unit])</f>
        <v>0.6</v>
      </c>
      <c r="L41" s="6">
        <f>SalesTable[[#This Row],[Ingredient_Cost_per_Unit]]+SalesTable[[#This Row],[Packaging_Cost_per_Unit]]+SalesTable[[#This Row],[Labor_Cost_per_Unit]]</f>
        <v>2.0499999999999998</v>
      </c>
      <c r="M41" s="2">
        <f>SalesTable[[#This Row],[Units_Sold]]*SalesTable[[#This Row],[Total_Cost_per_Unit]]</f>
        <v>5534.9999999999991</v>
      </c>
      <c r="N41" s="2">
        <f>SalesTable[[#This Row],[Revenue]]-SalesTable[[#This Row],[Total_Cost]]</f>
        <v>4590.0000000000009</v>
      </c>
      <c r="O41" s="7">
        <f>SalesTable[[#This Row],[Gross_Profit]]/SalesTable[[#This Row],[Revenue]]</f>
        <v>0.45333333333333342</v>
      </c>
      <c r="P41" s="3">
        <f>SalesTable[[#This Row],[Price_per_Unit]]-SalesTable[[#This Row],[Total_Cost_per_Unit]]</f>
        <v>1.7000000000000002</v>
      </c>
      <c r="Q41" s="7">
        <f>SalesTable[[#This Row],[Contribution_Margin_per_Unit]]/SalesTable[[#This Row],[Price_per_Unit]]</f>
        <v>0.45333333333333337</v>
      </c>
    </row>
    <row r="42" spans="1:17" x14ac:dyDescent="0.2">
      <c r="A42" s="1" t="s">
        <v>22</v>
      </c>
      <c r="B42" s="1" t="s">
        <v>16</v>
      </c>
      <c r="C42" s="1" t="s">
        <v>17</v>
      </c>
      <c r="D42" s="1" t="s">
        <v>10</v>
      </c>
      <c r="E42" s="1" t="s">
        <v>11</v>
      </c>
      <c r="F42" s="2">
        <v>7600</v>
      </c>
      <c r="G42" s="3">
        <v>4.6500000000000004</v>
      </c>
      <c r="H42" s="3">
        <f>SalesTable[[#This Row],[Units_Sold]]*SalesTable[[#This Row],[Price_per_Unit]]</f>
        <v>35340</v>
      </c>
      <c r="I42">
        <f>_xlfn.XLOOKUP(SalesTable[[#This Row],[Product]],CostTable[Product],CostTable[Ingredient_Cost_per_Unit])</f>
        <v>1.25</v>
      </c>
      <c r="J42">
        <f>_xlfn.XLOOKUP(SalesTable[[#This Row],[Product]],CostTable[Product],CostTable[Packaging_Cost_per_Unit])</f>
        <v>0.2</v>
      </c>
      <c r="K42">
        <f>_xlfn.XLOOKUP(SalesTable[[#This Row],[Product]],CostTable[Product],CostTable[Labor_Cost_per_Unit])</f>
        <v>0.95</v>
      </c>
      <c r="L42" s="6">
        <f>SalesTable[[#This Row],[Ingredient_Cost_per_Unit]]+SalesTable[[#This Row],[Packaging_Cost_per_Unit]]+SalesTable[[#This Row],[Labor_Cost_per_Unit]]</f>
        <v>2.4</v>
      </c>
      <c r="M42" s="2">
        <f>SalesTable[[#This Row],[Units_Sold]]*SalesTable[[#This Row],[Total_Cost_per_Unit]]</f>
        <v>18240</v>
      </c>
      <c r="N42" s="2">
        <f>SalesTable[[#This Row],[Revenue]]-SalesTable[[#This Row],[Total_Cost]]</f>
        <v>17100</v>
      </c>
      <c r="O42" s="7">
        <f>SalesTable[[#This Row],[Gross_Profit]]/SalesTable[[#This Row],[Revenue]]</f>
        <v>0.4838709677419355</v>
      </c>
      <c r="P42" s="3">
        <f>SalesTable[[#This Row],[Price_per_Unit]]-SalesTable[[#This Row],[Total_Cost_per_Unit]]</f>
        <v>2.2500000000000004</v>
      </c>
      <c r="Q42" s="7">
        <f>SalesTable[[#This Row],[Contribution_Margin_per_Unit]]/SalesTable[[#This Row],[Price_per_Unit]]</f>
        <v>0.48387096774193555</v>
      </c>
    </row>
    <row r="43" spans="1:17" x14ac:dyDescent="0.2">
      <c r="A43" s="1" t="s">
        <v>22</v>
      </c>
      <c r="B43" s="1" t="s">
        <v>16</v>
      </c>
      <c r="C43" s="1" t="s">
        <v>17</v>
      </c>
      <c r="D43" s="1" t="s">
        <v>12</v>
      </c>
      <c r="E43" s="1" t="s">
        <v>11</v>
      </c>
      <c r="F43" s="2">
        <v>5800</v>
      </c>
      <c r="G43" s="3">
        <v>5.0999999999999996</v>
      </c>
      <c r="H43" s="3">
        <f>SalesTable[[#This Row],[Units_Sold]]*SalesTable[[#This Row],[Price_per_Unit]]</f>
        <v>29579.999999999996</v>
      </c>
      <c r="I43">
        <f>_xlfn.XLOOKUP(SalesTable[[#This Row],[Product]],CostTable[Product],CostTable[Ingredient_Cost_per_Unit])</f>
        <v>1.1000000000000001</v>
      </c>
      <c r="J43">
        <f>_xlfn.XLOOKUP(SalesTable[[#This Row],[Product]],CostTable[Product],CostTable[Packaging_Cost_per_Unit])</f>
        <v>0.25</v>
      </c>
      <c r="K43">
        <f>_xlfn.XLOOKUP(SalesTable[[#This Row],[Product]],CostTable[Product],CostTable[Labor_Cost_per_Unit])</f>
        <v>0.85</v>
      </c>
      <c r="L43" s="6">
        <f>SalesTable[[#This Row],[Ingredient_Cost_per_Unit]]+SalesTable[[#This Row],[Packaging_Cost_per_Unit]]+SalesTable[[#This Row],[Labor_Cost_per_Unit]]</f>
        <v>2.2000000000000002</v>
      </c>
      <c r="M43" s="2">
        <f>SalesTable[[#This Row],[Units_Sold]]*SalesTable[[#This Row],[Total_Cost_per_Unit]]</f>
        <v>12760.000000000002</v>
      </c>
      <c r="N43" s="2">
        <f>SalesTable[[#This Row],[Revenue]]-SalesTable[[#This Row],[Total_Cost]]</f>
        <v>16819.999999999993</v>
      </c>
      <c r="O43" s="7">
        <f>SalesTable[[#This Row],[Gross_Profit]]/SalesTable[[#This Row],[Revenue]]</f>
        <v>0.56862745098039202</v>
      </c>
      <c r="P43" s="3">
        <f>SalesTable[[#This Row],[Price_per_Unit]]-SalesTable[[#This Row],[Total_Cost_per_Unit]]</f>
        <v>2.8999999999999995</v>
      </c>
      <c r="Q43" s="7">
        <f>SalesTable[[#This Row],[Contribution_Margin_per_Unit]]/SalesTable[[#This Row],[Price_per_Unit]]</f>
        <v>0.56862745098039214</v>
      </c>
    </row>
    <row r="44" spans="1:17" x14ac:dyDescent="0.2">
      <c r="A44" s="1" t="s">
        <v>22</v>
      </c>
      <c r="B44" s="1" t="s">
        <v>16</v>
      </c>
      <c r="C44" s="1" t="s">
        <v>17</v>
      </c>
      <c r="D44" s="1" t="s">
        <v>13</v>
      </c>
      <c r="E44" s="1" t="s">
        <v>14</v>
      </c>
      <c r="F44" s="2">
        <v>2900</v>
      </c>
      <c r="G44" s="3">
        <v>6.4</v>
      </c>
      <c r="H44" s="3">
        <f>SalesTable[[#This Row],[Units_Sold]]*SalesTable[[#This Row],[Price_per_Unit]]</f>
        <v>18560</v>
      </c>
      <c r="I44">
        <f>_xlfn.XLOOKUP(SalesTable[[#This Row],[Product]],CostTable[Product],CostTable[Ingredient_Cost_per_Unit])</f>
        <v>2.4</v>
      </c>
      <c r="J44">
        <f>_xlfn.XLOOKUP(SalesTable[[#This Row],[Product]],CostTable[Product],CostTable[Packaging_Cost_per_Unit])</f>
        <v>0.3</v>
      </c>
      <c r="K44">
        <f>_xlfn.XLOOKUP(SalesTable[[#This Row],[Product]],CostTable[Product],CostTable[Labor_Cost_per_Unit])</f>
        <v>1.2</v>
      </c>
      <c r="L44" s="6">
        <f>SalesTable[[#This Row],[Ingredient_Cost_per_Unit]]+SalesTable[[#This Row],[Packaging_Cost_per_Unit]]+SalesTable[[#This Row],[Labor_Cost_per_Unit]]</f>
        <v>3.8999999999999995</v>
      </c>
      <c r="M44" s="2">
        <f>SalesTable[[#This Row],[Units_Sold]]*SalesTable[[#This Row],[Total_Cost_per_Unit]]</f>
        <v>11309.999999999998</v>
      </c>
      <c r="N44" s="2">
        <f>SalesTable[[#This Row],[Revenue]]-SalesTable[[#This Row],[Total_Cost]]</f>
        <v>7250.0000000000018</v>
      </c>
      <c r="O44" s="7">
        <f>SalesTable[[#This Row],[Gross_Profit]]/SalesTable[[#This Row],[Revenue]]</f>
        <v>0.39062500000000011</v>
      </c>
      <c r="P44" s="3">
        <f>SalesTable[[#This Row],[Price_per_Unit]]-SalesTable[[#This Row],[Total_Cost_per_Unit]]</f>
        <v>2.5000000000000009</v>
      </c>
      <c r="Q44" s="7">
        <f>SalesTable[[#This Row],[Contribution_Margin_per_Unit]]/SalesTable[[#This Row],[Price_per_Unit]]</f>
        <v>0.39062500000000011</v>
      </c>
    </row>
    <row r="45" spans="1:17" x14ac:dyDescent="0.2">
      <c r="A45" s="1" t="s">
        <v>22</v>
      </c>
      <c r="B45" s="1" t="s">
        <v>16</v>
      </c>
      <c r="C45" s="1" t="s">
        <v>17</v>
      </c>
      <c r="D45" s="1" t="s">
        <v>15</v>
      </c>
      <c r="E45" s="1" t="s">
        <v>14</v>
      </c>
      <c r="F45" s="2">
        <v>2500</v>
      </c>
      <c r="G45" s="3">
        <v>3.65</v>
      </c>
      <c r="H45" s="3">
        <f>SalesTable[[#This Row],[Units_Sold]]*SalesTable[[#This Row],[Price_per_Unit]]</f>
        <v>9125</v>
      </c>
      <c r="I45">
        <f>_xlfn.XLOOKUP(SalesTable[[#This Row],[Product]],CostTable[Product],CostTable[Ingredient_Cost_per_Unit])</f>
        <v>1.3</v>
      </c>
      <c r="J45">
        <f>_xlfn.XLOOKUP(SalesTable[[#This Row],[Product]],CostTable[Product],CostTable[Packaging_Cost_per_Unit])</f>
        <v>0.15</v>
      </c>
      <c r="K45">
        <f>_xlfn.XLOOKUP(SalesTable[[#This Row],[Product]],CostTable[Product],CostTable[Labor_Cost_per_Unit])</f>
        <v>0.6</v>
      </c>
      <c r="L45" s="6">
        <f>SalesTable[[#This Row],[Ingredient_Cost_per_Unit]]+SalesTable[[#This Row],[Packaging_Cost_per_Unit]]+SalesTable[[#This Row],[Labor_Cost_per_Unit]]</f>
        <v>2.0499999999999998</v>
      </c>
      <c r="M45" s="2">
        <f>SalesTable[[#This Row],[Units_Sold]]*SalesTable[[#This Row],[Total_Cost_per_Unit]]</f>
        <v>5125</v>
      </c>
      <c r="N45" s="2">
        <f>SalesTable[[#This Row],[Revenue]]-SalesTable[[#This Row],[Total_Cost]]</f>
        <v>4000</v>
      </c>
      <c r="O45" s="7">
        <f>SalesTable[[#This Row],[Gross_Profit]]/SalesTable[[#This Row],[Revenue]]</f>
        <v>0.43835616438356162</v>
      </c>
      <c r="P45" s="3">
        <f>SalesTable[[#This Row],[Price_per_Unit]]-SalesTable[[#This Row],[Total_Cost_per_Unit]]</f>
        <v>1.6</v>
      </c>
      <c r="Q45" s="7">
        <f>SalesTable[[#This Row],[Contribution_Margin_per_Unit]]/SalesTable[[#This Row],[Price_per_Unit]]</f>
        <v>0.43835616438356168</v>
      </c>
    </row>
    <row r="46" spans="1:17" x14ac:dyDescent="0.2">
      <c r="A46" s="1" t="s">
        <v>22</v>
      </c>
      <c r="B46" s="1" t="s">
        <v>18</v>
      </c>
      <c r="C46" s="1" t="s">
        <v>19</v>
      </c>
      <c r="D46" s="1" t="s">
        <v>10</v>
      </c>
      <c r="E46" s="1" t="s">
        <v>11</v>
      </c>
      <c r="F46" s="2">
        <v>6900</v>
      </c>
      <c r="G46" s="3">
        <v>4.7</v>
      </c>
      <c r="H46" s="3">
        <f>SalesTable[[#This Row],[Units_Sold]]*SalesTable[[#This Row],[Price_per_Unit]]</f>
        <v>32430</v>
      </c>
      <c r="I46">
        <f>_xlfn.XLOOKUP(SalesTable[[#This Row],[Product]],CostTable[Product],CostTable[Ingredient_Cost_per_Unit])</f>
        <v>1.25</v>
      </c>
      <c r="J46">
        <f>_xlfn.XLOOKUP(SalesTable[[#This Row],[Product]],CostTable[Product],CostTable[Packaging_Cost_per_Unit])</f>
        <v>0.2</v>
      </c>
      <c r="K46">
        <f>_xlfn.XLOOKUP(SalesTable[[#This Row],[Product]],CostTable[Product],CostTable[Labor_Cost_per_Unit])</f>
        <v>0.95</v>
      </c>
      <c r="L46" s="6">
        <f>SalesTable[[#This Row],[Ingredient_Cost_per_Unit]]+SalesTable[[#This Row],[Packaging_Cost_per_Unit]]+SalesTable[[#This Row],[Labor_Cost_per_Unit]]</f>
        <v>2.4</v>
      </c>
      <c r="M46" s="2">
        <f>SalesTable[[#This Row],[Units_Sold]]*SalesTable[[#This Row],[Total_Cost_per_Unit]]</f>
        <v>16560</v>
      </c>
      <c r="N46" s="2">
        <f>SalesTable[[#This Row],[Revenue]]-SalesTable[[#This Row],[Total_Cost]]</f>
        <v>15870</v>
      </c>
      <c r="O46" s="7">
        <f>SalesTable[[#This Row],[Gross_Profit]]/SalesTable[[#This Row],[Revenue]]</f>
        <v>0.48936170212765956</v>
      </c>
      <c r="P46" s="3">
        <f>SalesTable[[#This Row],[Price_per_Unit]]-SalesTable[[#This Row],[Total_Cost_per_Unit]]</f>
        <v>2.3000000000000003</v>
      </c>
      <c r="Q46" s="7">
        <f>SalesTable[[#This Row],[Contribution_Margin_per_Unit]]/SalesTable[[#This Row],[Price_per_Unit]]</f>
        <v>0.48936170212765961</v>
      </c>
    </row>
    <row r="47" spans="1:17" x14ac:dyDescent="0.2">
      <c r="A47" s="1" t="s">
        <v>22</v>
      </c>
      <c r="B47" s="1" t="s">
        <v>18</v>
      </c>
      <c r="C47" s="1" t="s">
        <v>19</v>
      </c>
      <c r="D47" s="1" t="s">
        <v>12</v>
      </c>
      <c r="E47" s="1" t="s">
        <v>11</v>
      </c>
      <c r="F47" s="2">
        <v>5100</v>
      </c>
      <c r="G47" s="3">
        <v>5.15</v>
      </c>
      <c r="H47" s="3">
        <f>SalesTable[[#This Row],[Units_Sold]]*SalesTable[[#This Row],[Price_per_Unit]]</f>
        <v>26265</v>
      </c>
      <c r="I47">
        <f>_xlfn.XLOOKUP(SalesTable[[#This Row],[Product]],CostTable[Product],CostTable[Ingredient_Cost_per_Unit])</f>
        <v>1.1000000000000001</v>
      </c>
      <c r="J47">
        <f>_xlfn.XLOOKUP(SalesTable[[#This Row],[Product]],CostTable[Product],CostTable[Packaging_Cost_per_Unit])</f>
        <v>0.25</v>
      </c>
      <c r="K47">
        <f>_xlfn.XLOOKUP(SalesTable[[#This Row],[Product]],CostTable[Product],CostTable[Labor_Cost_per_Unit])</f>
        <v>0.85</v>
      </c>
      <c r="L47" s="6">
        <f>SalesTable[[#This Row],[Ingredient_Cost_per_Unit]]+SalesTable[[#This Row],[Packaging_Cost_per_Unit]]+SalesTable[[#This Row],[Labor_Cost_per_Unit]]</f>
        <v>2.2000000000000002</v>
      </c>
      <c r="M47" s="2">
        <f>SalesTable[[#This Row],[Units_Sold]]*SalesTable[[#This Row],[Total_Cost_per_Unit]]</f>
        <v>11220</v>
      </c>
      <c r="N47" s="2">
        <f>SalesTable[[#This Row],[Revenue]]-SalesTable[[#This Row],[Total_Cost]]</f>
        <v>15045</v>
      </c>
      <c r="O47" s="7">
        <f>SalesTable[[#This Row],[Gross_Profit]]/SalesTable[[#This Row],[Revenue]]</f>
        <v>0.57281553398058249</v>
      </c>
      <c r="P47" s="3">
        <f>SalesTable[[#This Row],[Price_per_Unit]]-SalesTable[[#This Row],[Total_Cost_per_Unit]]</f>
        <v>2.95</v>
      </c>
      <c r="Q47" s="7">
        <f>SalesTable[[#This Row],[Contribution_Margin_per_Unit]]/SalesTable[[#This Row],[Price_per_Unit]]</f>
        <v>0.57281553398058249</v>
      </c>
    </row>
    <row r="48" spans="1:17" x14ac:dyDescent="0.2">
      <c r="A48" s="1" t="s">
        <v>22</v>
      </c>
      <c r="B48" s="1" t="s">
        <v>18</v>
      </c>
      <c r="C48" s="1" t="s">
        <v>19</v>
      </c>
      <c r="D48" s="1" t="s">
        <v>13</v>
      </c>
      <c r="E48" s="1" t="s">
        <v>14</v>
      </c>
      <c r="F48" s="2">
        <v>2600</v>
      </c>
      <c r="G48" s="3">
        <v>6.45</v>
      </c>
      <c r="H48" s="3">
        <f>SalesTable[[#This Row],[Units_Sold]]*SalesTable[[#This Row],[Price_per_Unit]]</f>
        <v>16770</v>
      </c>
      <c r="I48">
        <f>_xlfn.XLOOKUP(SalesTable[[#This Row],[Product]],CostTable[Product],CostTable[Ingredient_Cost_per_Unit])</f>
        <v>2.4</v>
      </c>
      <c r="J48">
        <f>_xlfn.XLOOKUP(SalesTable[[#This Row],[Product]],CostTable[Product],CostTable[Packaging_Cost_per_Unit])</f>
        <v>0.3</v>
      </c>
      <c r="K48">
        <f>_xlfn.XLOOKUP(SalesTable[[#This Row],[Product]],CostTable[Product],CostTable[Labor_Cost_per_Unit])</f>
        <v>1.2</v>
      </c>
      <c r="L48" s="6">
        <f>SalesTable[[#This Row],[Ingredient_Cost_per_Unit]]+SalesTable[[#This Row],[Packaging_Cost_per_Unit]]+SalesTable[[#This Row],[Labor_Cost_per_Unit]]</f>
        <v>3.8999999999999995</v>
      </c>
      <c r="M48" s="2">
        <f>SalesTable[[#This Row],[Units_Sold]]*SalesTable[[#This Row],[Total_Cost_per_Unit]]</f>
        <v>10139.999999999998</v>
      </c>
      <c r="N48" s="2">
        <f>SalesTable[[#This Row],[Revenue]]-SalesTable[[#This Row],[Total_Cost]]</f>
        <v>6630.0000000000018</v>
      </c>
      <c r="O48" s="7">
        <f>SalesTable[[#This Row],[Gross_Profit]]/SalesTable[[#This Row],[Revenue]]</f>
        <v>0.39534883720930242</v>
      </c>
      <c r="P48" s="3">
        <f>SalesTable[[#This Row],[Price_per_Unit]]-SalesTable[[#This Row],[Total_Cost_per_Unit]]</f>
        <v>2.5500000000000007</v>
      </c>
      <c r="Q48" s="7">
        <f>SalesTable[[#This Row],[Contribution_Margin_per_Unit]]/SalesTable[[#This Row],[Price_per_Unit]]</f>
        <v>0.39534883720930242</v>
      </c>
    </row>
    <row r="49" spans="1:17" x14ac:dyDescent="0.2">
      <c r="A49" s="1" t="s">
        <v>22</v>
      </c>
      <c r="B49" s="1" t="s">
        <v>18</v>
      </c>
      <c r="C49" s="1" t="s">
        <v>19</v>
      </c>
      <c r="D49" s="1" t="s">
        <v>15</v>
      </c>
      <c r="E49" s="1" t="s">
        <v>14</v>
      </c>
      <c r="F49" s="2">
        <v>2300</v>
      </c>
      <c r="G49" s="3">
        <v>3.7</v>
      </c>
      <c r="H49" s="3">
        <f>SalesTable[[#This Row],[Units_Sold]]*SalesTable[[#This Row],[Price_per_Unit]]</f>
        <v>8510</v>
      </c>
      <c r="I49">
        <f>_xlfn.XLOOKUP(SalesTable[[#This Row],[Product]],CostTable[Product],CostTable[Ingredient_Cost_per_Unit])</f>
        <v>1.3</v>
      </c>
      <c r="J49">
        <f>_xlfn.XLOOKUP(SalesTable[[#This Row],[Product]],CostTable[Product],CostTable[Packaging_Cost_per_Unit])</f>
        <v>0.15</v>
      </c>
      <c r="K49">
        <f>_xlfn.XLOOKUP(SalesTable[[#This Row],[Product]],CostTable[Product],CostTable[Labor_Cost_per_Unit])</f>
        <v>0.6</v>
      </c>
      <c r="L49" s="6">
        <f>SalesTable[[#This Row],[Ingredient_Cost_per_Unit]]+SalesTable[[#This Row],[Packaging_Cost_per_Unit]]+SalesTable[[#This Row],[Labor_Cost_per_Unit]]</f>
        <v>2.0499999999999998</v>
      </c>
      <c r="M49" s="2">
        <f>SalesTable[[#This Row],[Units_Sold]]*SalesTable[[#This Row],[Total_Cost_per_Unit]]</f>
        <v>4715</v>
      </c>
      <c r="N49" s="2">
        <f>SalesTable[[#This Row],[Revenue]]-SalesTable[[#This Row],[Total_Cost]]</f>
        <v>3795</v>
      </c>
      <c r="O49" s="7">
        <f>SalesTable[[#This Row],[Gross_Profit]]/SalesTable[[#This Row],[Revenue]]</f>
        <v>0.44594594594594594</v>
      </c>
      <c r="P49" s="3">
        <f>SalesTable[[#This Row],[Price_per_Unit]]-SalesTable[[#This Row],[Total_Cost_per_Unit]]</f>
        <v>1.6500000000000004</v>
      </c>
      <c r="Q49" s="7">
        <f>SalesTable[[#This Row],[Contribution_Margin_per_Unit]]/SalesTable[[#This Row],[Price_per_Unit]]</f>
        <v>0.445945945945946</v>
      </c>
    </row>
    <row r="50" spans="1:17" x14ac:dyDescent="0.2">
      <c r="A50" s="1" t="s">
        <v>23</v>
      </c>
      <c r="B50" s="1" t="s">
        <v>8</v>
      </c>
      <c r="C50" s="1" t="s">
        <v>9</v>
      </c>
      <c r="D50" s="1" t="s">
        <v>10</v>
      </c>
      <c r="E50" s="1" t="s">
        <v>11</v>
      </c>
      <c r="F50" s="2">
        <v>8200</v>
      </c>
      <c r="G50" s="3">
        <v>4.75</v>
      </c>
      <c r="H50" s="3">
        <f>SalesTable[[#This Row],[Units_Sold]]*SalesTable[[#This Row],[Price_per_Unit]]</f>
        <v>38950</v>
      </c>
      <c r="I50">
        <f>_xlfn.XLOOKUP(SalesTable[[#This Row],[Product]],CostTable[Product],CostTable[Ingredient_Cost_per_Unit])</f>
        <v>1.25</v>
      </c>
      <c r="J50">
        <f>_xlfn.XLOOKUP(SalesTable[[#This Row],[Product]],CostTable[Product],CostTable[Packaging_Cost_per_Unit])</f>
        <v>0.2</v>
      </c>
      <c r="K50">
        <f>_xlfn.XLOOKUP(SalesTable[[#This Row],[Product]],CostTable[Product],CostTable[Labor_Cost_per_Unit])</f>
        <v>0.95</v>
      </c>
      <c r="L50" s="6">
        <f>SalesTable[[#This Row],[Ingredient_Cost_per_Unit]]+SalesTable[[#This Row],[Packaging_Cost_per_Unit]]+SalesTable[[#This Row],[Labor_Cost_per_Unit]]</f>
        <v>2.4</v>
      </c>
      <c r="M50" s="2">
        <f>SalesTable[[#This Row],[Units_Sold]]*SalesTable[[#This Row],[Total_Cost_per_Unit]]</f>
        <v>19680</v>
      </c>
      <c r="N50" s="2">
        <f>SalesTable[[#This Row],[Revenue]]-SalesTable[[#This Row],[Total_Cost]]</f>
        <v>19270</v>
      </c>
      <c r="O50" s="7">
        <f>SalesTable[[#This Row],[Gross_Profit]]/SalesTable[[#This Row],[Revenue]]</f>
        <v>0.49473684210526314</v>
      </c>
      <c r="P50" s="3">
        <f>SalesTable[[#This Row],[Price_per_Unit]]-SalesTable[[#This Row],[Total_Cost_per_Unit]]</f>
        <v>2.35</v>
      </c>
      <c r="Q50" s="7">
        <f>SalesTable[[#This Row],[Contribution_Margin_per_Unit]]/SalesTable[[#This Row],[Price_per_Unit]]</f>
        <v>0.4947368421052632</v>
      </c>
    </row>
    <row r="51" spans="1:17" x14ac:dyDescent="0.2">
      <c r="A51" s="1" t="s">
        <v>23</v>
      </c>
      <c r="B51" s="1" t="s">
        <v>8</v>
      </c>
      <c r="C51" s="1" t="s">
        <v>9</v>
      </c>
      <c r="D51" s="1" t="s">
        <v>12</v>
      </c>
      <c r="E51" s="1" t="s">
        <v>11</v>
      </c>
      <c r="F51" s="2">
        <v>6400</v>
      </c>
      <c r="G51" s="3">
        <v>5.25</v>
      </c>
      <c r="H51" s="3">
        <f>SalesTable[[#This Row],[Units_Sold]]*SalesTable[[#This Row],[Price_per_Unit]]</f>
        <v>33600</v>
      </c>
      <c r="I51">
        <f>_xlfn.XLOOKUP(SalesTable[[#This Row],[Product]],CostTable[Product],CostTable[Ingredient_Cost_per_Unit])</f>
        <v>1.1000000000000001</v>
      </c>
      <c r="J51">
        <f>_xlfn.XLOOKUP(SalesTable[[#This Row],[Product]],CostTable[Product],CostTable[Packaging_Cost_per_Unit])</f>
        <v>0.25</v>
      </c>
      <c r="K51">
        <f>_xlfn.XLOOKUP(SalesTable[[#This Row],[Product]],CostTable[Product],CostTable[Labor_Cost_per_Unit])</f>
        <v>0.85</v>
      </c>
      <c r="L51" s="6">
        <f>SalesTable[[#This Row],[Ingredient_Cost_per_Unit]]+SalesTable[[#This Row],[Packaging_Cost_per_Unit]]+SalesTable[[#This Row],[Labor_Cost_per_Unit]]</f>
        <v>2.2000000000000002</v>
      </c>
      <c r="M51" s="2">
        <f>SalesTable[[#This Row],[Units_Sold]]*SalesTable[[#This Row],[Total_Cost_per_Unit]]</f>
        <v>14080.000000000002</v>
      </c>
      <c r="N51" s="2">
        <f>SalesTable[[#This Row],[Revenue]]-SalesTable[[#This Row],[Total_Cost]]</f>
        <v>19520</v>
      </c>
      <c r="O51" s="7">
        <f>SalesTable[[#This Row],[Gross_Profit]]/SalesTable[[#This Row],[Revenue]]</f>
        <v>0.580952380952381</v>
      </c>
      <c r="P51" s="3">
        <f>SalesTable[[#This Row],[Price_per_Unit]]-SalesTable[[#This Row],[Total_Cost_per_Unit]]</f>
        <v>3.05</v>
      </c>
      <c r="Q51" s="7">
        <f>SalesTable[[#This Row],[Contribution_Margin_per_Unit]]/SalesTable[[#This Row],[Price_per_Unit]]</f>
        <v>0.58095238095238089</v>
      </c>
    </row>
    <row r="52" spans="1:17" x14ac:dyDescent="0.2">
      <c r="A52" s="1" t="s">
        <v>23</v>
      </c>
      <c r="B52" s="1" t="s">
        <v>8</v>
      </c>
      <c r="C52" s="1" t="s">
        <v>9</v>
      </c>
      <c r="D52" s="1" t="s">
        <v>13</v>
      </c>
      <c r="E52" s="1" t="s">
        <v>14</v>
      </c>
      <c r="F52" s="2">
        <v>3100</v>
      </c>
      <c r="G52" s="3">
        <v>6.5</v>
      </c>
      <c r="H52" s="3">
        <f>SalesTable[[#This Row],[Units_Sold]]*SalesTable[[#This Row],[Price_per_Unit]]</f>
        <v>20150</v>
      </c>
      <c r="I52">
        <f>_xlfn.XLOOKUP(SalesTable[[#This Row],[Product]],CostTable[Product],CostTable[Ingredient_Cost_per_Unit])</f>
        <v>2.4</v>
      </c>
      <c r="J52">
        <f>_xlfn.XLOOKUP(SalesTable[[#This Row],[Product]],CostTable[Product],CostTable[Packaging_Cost_per_Unit])</f>
        <v>0.3</v>
      </c>
      <c r="K52">
        <f>_xlfn.XLOOKUP(SalesTable[[#This Row],[Product]],CostTable[Product],CostTable[Labor_Cost_per_Unit])</f>
        <v>1.2</v>
      </c>
      <c r="L52" s="6">
        <f>SalesTable[[#This Row],[Ingredient_Cost_per_Unit]]+SalesTable[[#This Row],[Packaging_Cost_per_Unit]]+SalesTable[[#This Row],[Labor_Cost_per_Unit]]</f>
        <v>3.8999999999999995</v>
      </c>
      <c r="M52" s="2">
        <f>SalesTable[[#This Row],[Units_Sold]]*SalesTable[[#This Row],[Total_Cost_per_Unit]]</f>
        <v>12089.999999999998</v>
      </c>
      <c r="N52" s="2">
        <f>SalesTable[[#This Row],[Revenue]]-SalesTable[[#This Row],[Total_Cost]]</f>
        <v>8060.0000000000018</v>
      </c>
      <c r="O52" s="7">
        <f>SalesTable[[#This Row],[Gross_Profit]]/SalesTable[[#This Row],[Revenue]]</f>
        <v>0.40000000000000008</v>
      </c>
      <c r="P52" s="3">
        <f>SalesTable[[#This Row],[Price_per_Unit]]-SalesTable[[#This Row],[Total_Cost_per_Unit]]</f>
        <v>2.6000000000000005</v>
      </c>
      <c r="Q52" s="7">
        <f>SalesTable[[#This Row],[Contribution_Margin_per_Unit]]/SalesTable[[#This Row],[Price_per_Unit]]</f>
        <v>0.40000000000000008</v>
      </c>
    </row>
    <row r="53" spans="1:17" x14ac:dyDescent="0.2">
      <c r="A53" s="1" t="s">
        <v>23</v>
      </c>
      <c r="B53" s="1" t="s">
        <v>8</v>
      </c>
      <c r="C53" s="1" t="s">
        <v>9</v>
      </c>
      <c r="D53" s="1" t="s">
        <v>15</v>
      </c>
      <c r="E53" s="1" t="s">
        <v>14</v>
      </c>
      <c r="F53" s="2">
        <v>2700</v>
      </c>
      <c r="G53" s="3">
        <v>3.75</v>
      </c>
      <c r="H53" s="3">
        <f>SalesTable[[#This Row],[Units_Sold]]*SalesTable[[#This Row],[Price_per_Unit]]</f>
        <v>10125</v>
      </c>
      <c r="I53">
        <f>_xlfn.XLOOKUP(SalesTable[[#This Row],[Product]],CostTable[Product],CostTable[Ingredient_Cost_per_Unit])</f>
        <v>1.3</v>
      </c>
      <c r="J53">
        <f>_xlfn.XLOOKUP(SalesTable[[#This Row],[Product]],CostTable[Product],CostTable[Packaging_Cost_per_Unit])</f>
        <v>0.15</v>
      </c>
      <c r="K53">
        <f>_xlfn.XLOOKUP(SalesTable[[#This Row],[Product]],CostTable[Product],CostTable[Labor_Cost_per_Unit])</f>
        <v>0.6</v>
      </c>
      <c r="L53" s="6">
        <f>SalesTable[[#This Row],[Ingredient_Cost_per_Unit]]+SalesTable[[#This Row],[Packaging_Cost_per_Unit]]+SalesTable[[#This Row],[Labor_Cost_per_Unit]]</f>
        <v>2.0499999999999998</v>
      </c>
      <c r="M53" s="2">
        <f>SalesTable[[#This Row],[Units_Sold]]*SalesTable[[#This Row],[Total_Cost_per_Unit]]</f>
        <v>5534.9999999999991</v>
      </c>
      <c r="N53" s="2">
        <f>SalesTable[[#This Row],[Revenue]]-SalesTable[[#This Row],[Total_Cost]]</f>
        <v>4590.0000000000009</v>
      </c>
      <c r="O53" s="7">
        <f>SalesTable[[#This Row],[Gross_Profit]]/SalesTable[[#This Row],[Revenue]]</f>
        <v>0.45333333333333342</v>
      </c>
      <c r="P53" s="3">
        <f>SalesTable[[#This Row],[Price_per_Unit]]-SalesTable[[#This Row],[Total_Cost_per_Unit]]</f>
        <v>1.7000000000000002</v>
      </c>
      <c r="Q53" s="7">
        <f>SalesTable[[#This Row],[Contribution_Margin_per_Unit]]/SalesTable[[#This Row],[Price_per_Unit]]</f>
        <v>0.45333333333333337</v>
      </c>
    </row>
    <row r="54" spans="1:17" x14ac:dyDescent="0.2">
      <c r="A54" s="1" t="s">
        <v>23</v>
      </c>
      <c r="B54" s="1" t="s">
        <v>16</v>
      </c>
      <c r="C54" s="1" t="s">
        <v>17</v>
      </c>
      <c r="D54" s="1" t="s">
        <v>10</v>
      </c>
      <c r="E54" s="1" t="s">
        <v>11</v>
      </c>
      <c r="F54" s="2">
        <v>7600</v>
      </c>
      <c r="G54" s="3">
        <v>4.6500000000000004</v>
      </c>
      <c r="H54" s="3">
        <f>SalesTable[[#This Row],[Units_Sold]]*SalesTable[[#This Row],[Price_per_Unit]]</f>
        <v>35340</v>
      </c>
      <c r="I54">
        <f>_xlfn.XLOOKUP(SalesTable[[#This Row],[Product]],CostTable[Product],CostTable[Ingredient_Cost_per_Unit])</f>
        <v>1.25</v>
      </c>
      <c r="J54">
        <f>_xlfn.XLOOKUP(SalesTable[[#This Row],[Product]],CostTable[Product],CostTable[Packaging_Cost_per_Unit])</f>
        <v>0.2</v>
      </c>
      <c r="K54">
        <f>_xlfn.XLOOKUP(SalesTable[[#This Row],[Product]],CostTable[Product],CostTable[Labor_Cost_per_Unit])</f>
        <v>0.95</v>
      </c>
      <c r="L54" s="6">
        <f>SalesTable[[#This Row],[Ingredient_Cost_per_Unit]]+SalesTable[[#This Row],[Packaging_Cost_per_Unit]]+SalesTable[[#This Row],[Labor_Cost_per_Unit]]</f>
        <v>2.4</v>
      </c>
      <c r="M54" s="2">
        <f>SalesTable[[#This Row],[Units_Sold]]*SalesTable[[#This Row],[Total_Cost_per_Unit]]</f>
        <v>18240</v>
      </c>
      <c r="N54" s="2">
        <f>SalesTable[[#This Row],[Revenue]]-SalesTable[[#This Row],[Total_Cost]]</f>
        <v>17100</v>
      </c>
      <c r="O54" s="7">
        <f>SalesTable[[#This Row],[Gross_Profit]]/SalesTable[[#This Row],[Revenue]]</f>
        <v>0.4838709677419355</v>
      </c>
      <c r="P54" s="3">
        <f>SalesTable[[#This Row],[Price_per_Unit]]-SalesTable[[#This Row],[Total_Cost_per_Unit]]</f>
        <v>2.2500000000000004</v>
      </c>
      <c r="Q54" s="7">
        <f>SalesTable[[#This Row],[Contribution_Margin_per_Unit]]/SalesTable[[#This Row],[Price_per_Unit]]</f>
        <v>0.48387096774193555</v>
      </c>
    </row>
    <row r="55" spans="1:17" x14ac:dyDescent="0.2">
      <c r="A55" s="1" t="s">
        <v>23</v>
      </c>
      <c r="B55" s="1" t="s">
        <v>16</v>
      </c>
      <c r="C55" s="1" t="s">
        <v>17</v>
      </c>
      <c r="D55" s="1" t="s">
        <v>12</v>
      </c>
      <c r="E55" s="1" t="s">
        <v>11</v>
      </c>
      <c r="F55" s="2">
        <v>5800</v>
      </c>
      <c r="G55" s="3">
        <v>5.0999999999999996</v>
      </c>
      <c r="H55" s="3">
        <f>SalesTable[[#This Row],[Units_Sold]]*SalesTable[[#This Row],[Price_per_Unit]]</f>
        <v>29579.999999999996</v>
      </c>
      <c r="I55">
        <f>_xlfn.XLOOKUP(SalesTable[[#This Row],[Product]],CostTable[Product],CostTable[Ingredient_Cost_per_Unit])</f>
        <v>1.1000000000000001</v>
      </c>
      <c r="J55">
        <f>_xlfn.XLOOKUP(SalesTable[[#This Row],[Product]],CostTable[Product],CostTable[Packaging_Cost_per_Unit])</f>
        <v>0.25</v>
      </c>
      <c r="K55">
        <f>_xlfn.XLOOKUP(SalesTable[[#This Row],[Product]],CostTable[Product],CostTable[Labor_Cost_per_Unit])</f>
        <v>0.85</v>
      </c>
      <c r="L55" s="6">
        <f>SalesTable[[#This Row],[Ingredient_Cost_per_Unit]]+SalesTable[[#This Row],[Packaging_Cost_per_Unit]]+SalesTable[[#This Row],[Labor_Cost_per_Unit]]</f>
        <v>2.2000000000000002</v>
      </c>
      <c r="M55" s="2">
        <f>SalesTable[[#This Row],[Units_Sold]]*SalesTable[[#This Row],[Total_Cost_per_Unit]]</f>
        <v>12760.000000000002</v>
      </c>
      <c r="N55" s="2">
        <f>SalesTable[[#This Row],[Revenue]]-SalesTable[[#This Row],[Total_Cost]]</f>
        <v>16819.999999999993</v>
      </c>
      <c r="O55" s="7">
        <f>SalesTable[[#This Row],[Gross_Profit]]/SalesTable[[#This Row],[Revenue]]</f>
        <v>0.56862745098039202</v>
      </c>
      <c r="P55" s="3">
        <f>SalesTable[[#This Row],[Price_per_Unit]]-SalesTable[[#This Row],[Total_Cost_per_Unit]]</f>
        <v>2.8999999999999995</v>
      </c>
      <c r="Q55" s="7">
        <f>SalesTable[[#This Row],[Contribution_Margin_per_Unit]]/SalesTable[[#This Row],[Price_per_Unit]]</f>
        <v>0.56862745098039214</v>
      </c>
    </row>
    <row r="56" spans="1:17" x14ac:dyDescent="0.2">
      <c r="A56" s="1" t="s">
        <v>23</v>
      </c>
      <c r="B56" s="1" t="s">
        <v>16</v>
      </c>
      <c r="C56" s="1" t="s">
        <v>17</v>
      </c>
      <c r="D56" s="1" t="s">
        <v>13</v>
      </c>
      <c r="E56" s="1" t="s">
        <v>14</v>
      </c>
      <c r="F56" s="2">
        <v>2900</v>
      </c>
      <c r="G56" s="3">
        <v>6.4</v>
      </c>
      <c r="H56" s="3">
        <f>SalesTable[[#This Row],[Units_Sold]]*SalesTable[[#This Row],[Price_per_Unit]]</f>
        <v>18560</v>
      </c>
      <c r="I56">
        <f>_xlfn.XLOOKUP(SalesTable[[#This Row],[Product]],CostTable[Product],CostTable[Ingredient_Cost_per_Unit])</f>
        <v>2.4</v>
      </c>
      <c r="J56">
        <f>_xlfn.XLOOKUP(SalesTable[[#This Row],[Product]],CostTable[Product],CostTable[Packaging_Cost_per_Unit])</f>
        <v>0.3</v>
      </c>
      <c r="K56">
        <f>_xlfn.XLOOKUP(SalesTable[[#This Row],[Product]],CostTable[Product],CostTable[Labor_Cost_per_Unit])</f>
        <v>1.2</v>
      </c>
      <c r="L56" s="6">
        <f>SalesTable[[#This Row],[Ingredient_Cost_per_Unit]]+SalesTable[[#This Row],[Packaging_Cost_per_Unit]]+SalesTable[[#This Row],[Labor_Cost_per_Unit]]</f>
        <v>3.8999999999999995</v>
      </c>
      <c r="M56" s="2">
        <f>SalesTable[[#This Row],[Units_Sold]]*SalesTable[[#This Row],[Total_Cost_per_Unit]]</f>
        <v>11309.999999999998</v>
      </c>
      <c r="N56" s="2">
        <f>SalesTable[[#This Row],[Revenue]]-SalesTable[[#This Row],[Total_Cost]]</f>
        <v>7250.0000000000018</v>
      </c>
      <c r="O56" s="7">
        <f>SalesTable[[#This Row],[Gross_Profit]]/SalesTable[[#This Row],[Revenue]]</f>
        <v>0.39062500000000011</v>
      </c>
      <c r="P56" s="3">
        <f>SalesTable[[#This Row],[Price_per_Unit]]-SalesTable[[#This Row],[Total_Cost_per_Unit]]</f>
        <v>2.5000000000000009</v>
      </c>
      <c r="Q56" s="7">
        <f>SalesTable[[#This Row],[Contribution_Margin_per_Unit]]/SalesTable[[#This Row],[Price_per_Unit]]</f>
        <v>0.39062500000000011</v>
      </c>
    </row>
    <row r="57" spans="1:17" x14ac:dyDescent="0.2">
      <c r="A57" s="1" t="s">
        <v>23</v>
      </c>
      <c r="B57" s="1" t="s">
        <v>16</v>
      </c>
      <c r="C57" s="1" t="s">
        <v>17</v>
      </c>
      <c r="D57" s="1" t="s">
        <v>15</v>
      </c>
      <c r="E57" s="1" t="s">
        <v>14</v>
      </c>
      <c r="F57" s="2">
        <v>2500</v>
      </c>
      <c r="G57" s="3">
        <v>3.65</v>
      </c>
      <c r="H57" s="3">
        <f>SalesTable[[#This Row],[Units_Sold]]*SalesTable[[#This Row],[Price_per_Unit]]</f>
        <v>9125</v>
      </c>
      <c r="I57">
        <f>_xlfn.XLOOKUP(SalesTable[[#This Row],[Product]],CostTable[Product],CostTable[Ingredient_Cost_per_Unit])</f>
        <v>1.3</v>
      </c>
      <c r="J57">
        <f>_xlfn.XLOOKUP(SalesTable[[#This Row],[Product]],CostTable[Product],CostTable[Packaging_Cost_per_Unit])</f>
        <v>0.15</v>
      </c>
      <c r="K57">
        <f>_xlfn.XLOOKUP(SalesTable[[#This Row],[Product]],CostTable[Product],CostTable[Labor_Cost_per_Unit])</f>
        <v>0.6</v>
      </c>
      <c r="L57" s="6">
        <f>SalesTable[[#This Row],[Ingredient_Cost_per_Unit]]+SalesTable[[#This Row],[Packaging_Cost_per_Unit]]+SalesTable[[#This Row],[Labor_Cost_per_Unit]]</f>
        <v>2.0499999999999998</v>
      </c>
      <c r="M57" s="2">
        <f>SalesTable[[#This Row],[Units_Sold]]*SalesTable[[#This Row],[Total_Cost_per_Unit]]</f>
        <v>5125</v>
      </c>
      <c r="N57" s="2">
        <f>SalesTable[[#This Row],[Revenue]]-SalesTable[[#This Row],[Total_Cost]]</f>
        <v>4000</v>
      </c>
      <c r="O57" s="7">
        <f>SalesTable[[#This Row],[Gross_Profit]]/SalesTable[[#This Row],[Revenue]]</f>
        <v>0.43835616438356162</v>
      </c>
      <c r="P57" s="3">
        <f>SalesTable[[#This Row],[Price_per_Unit]]-SalesTable[[#This Row],[Total_Cost_per_Unit]]</f>
        <v>1.6</v>
      </c>
      <c r="Q57" s="7">
        <f>SalesTable[[#This Row],[Contribution_Margin_per_Unit]]/SalesTable[[#This Row],[Price_per_Unit]]</f>
        <v>0.43835616438356168</v>
      </c>
    </row>
    <row r="58" spans="1:17" x14ac:dyDescent="0.2">
      <c r="A58" s="1" t="s">
        <v>23</v>
      </c>
      <c r="B58" s="1" t="s">
        <v>18</v>
      </c>
      <c r="C58" s="1" t="s">
        <v>19</v>
      </c>
      <c r="D58" s="1" t="s">
        <v>10</v>
      </c>
      <c r="E58" s="1" t="s">
        <v>11</v>
      </c>
      <c r="F58" s="2">
        <v>6900</v>
      </c>
      <c r="G58" s="3">
        <v>4.7</v>
      </c>
      <c r="H58" s="3">
        <f>SalesTable[[#This Row],[Units_Sold]]*SalesTable[[#This Row],[Price_per_Unit]]</f>
        <v>32430</v>
      </c>
      <c r="I58">
        <f>_xlfn.XLOOKUP(SalesTable[[#This Row],[Product]],CostTable[Product],CostTable[Ingredient_Cost_per_Unit])</f>
        <v>1.25</v>
      </c>
      <c r="J58">
        <f>_xlfn.XLOOKUP(SalesTable[[#This Row],[Product]],CostTable[Product],CostTable[Packaging_Cost_per_Unit])</f>
        <v>0.2</v>
      </c>
      <c r="K58">
        <f>_xlfn.XLOOKUP(SalesTable[[#This Row],[Product]],CostTable[Product],CostTable[Labor_Cost_per_Unit])</f>
        <v>0.95</v>
      </c>
      <c r="L58" s="6">
        <f>SalesTable[[#This Row],[Ingredient_Cost_per_Unit]]+SalesTable[[#This Row],[Packaging_Cost_per_Unit]]+SalesTable[[#This Row],[Labor_Cost_per_Unit]]</f>
        <v>2.4</v>
      </c>
      <c r="M58" s="2">
        <f>SalesTable[[#This Row],[Units_Sold]]*SalesTable[[#This Row],[Total_Cost_per_Unit]]</f>
        <v>16560</v>
      </c>
      <c r="N58" s="2">
        <f>SalesTable[[#This Row],[Revenue]]-SalesTable[[#This Row],[Total_Cost]]</f>
        <v>15870</v>
      </c>
      <c r="O58" s="7">
        <f>SalesTable[[#This Row],[Gross_Profit]]/SalesTable[[#This Row],[Revenue]]</f>
        <v>0.48936170212765956</v>
      </c>
      <c r="P58" s="3">
        <f>SalesTable[[#This Row],[Price_per_Unit]]-SalesTable[[#This Row],[Total_Cost_per_Unit]]</f>
        <v>2.3000000000000003</v>
      </c>
      <c r="Q58" s="7">
        <f>SalesTable[[#This Row],[Contribution_Margin_per_Unit]]/SalesTable[[#This Row],[Price_per_Unit]]</f>
        <v>0.48936170212765961</v>
      </c>
    </row>
    <row r="59" spans="1:17" x14ac:dyDescent="0.2">
      <c r="A59" s="1" t="s">
        <v>23</v>
      </c>
      <c r="B59" s="1" t="s">
        <v>18</v>
      </c>
      <c r="C59" s="1" t="s">
        <v>19</v>
      </c>
      <c r="D59" s="1" t="s">
        <v>12</v>
      </c>
      <c r="E59" s="1" t="s">
        <v>11</v>
      </c>
      <c r="F59" s="2">
        <v>5100</v>
      </c>
      <c r="G59" s="3">
        <v>5.15</v>
      </c>
      <c r="H59" s="3">
        <f>SalesTable[[#This Row],[Units_Sold]]*SalesTable[[#This Row],[Price_per_Unit]]</f>
        <v>26265</v>
      </c>
      <c r="I59">
        <f>_xlfn.XLOOKUP(SalesTable[[#This Row],[Product]],CostTable[Product],CostTable[Ingredient_Cost_per_Unit])</f>
        <v>1.1000000000000001</v>
      </c>
      <c r="J59">
        <f>_xlfn.XLOOKUP(SalesTable[[#This Row],[Product]],CostTable[Product],CostTable[Packaging_Cost_per_Unit])</f>
        <v>0.25</v>
      </c>
      <c r="K59">
        <f>_xlfn.XLOOKUP(SalesTable[[#This Row],[Product]],CostTable[Product],CostTable[Labor_Cost_per_Unit])</f>
        <v>0.85</v>
      </c>
      <c r="L59" s="6">
        <f>SalesTable[[#This Row],[Ingredient_Cost_per_Unit]]+SalesTable[[#This Row],[Packaging_Cost_per_Unit]]+SalesTable[[#This Row],[Labor_Cost_per_Unit]]</f>
        <v>2.2000000000000002</v>
      </c>
      <c r="M59" s="2">
        <f>SalesTable[[#This Row],[Units_Sold]]*SalesTable[[#This Row],[Total_Cost_per_Unit]]</f>
        <v>11220</v>
      </c>
      <c r="N59" s="2">
        <f>SalesTable[[#This Row],[Revenue]]-SalesTable[[#This Row],[Total_Cost]]</f>
        <v>15045</v>
      </c>
      <c r="O59" s="7">
        <f>SalesTable[[#This Row],[Gross_Profit]]/SalesTable[[#This Row],[Revenue]]</f>
        <v>0.57281553398058249</v>
      </c>
      <c r="P59" s="3">
        <f>SalesTable[[#This Row],[Price_per_Unit]]-SalesTable[[#This Row],[Total_Cost_per_Unit]]</f>
        <v>2.95</v>
      </c>
      <c r="Q59" s="7">
        <f>SalesTable[[#This Row],[Contribution_Margin_per_Unit]]/SalesTable[[#This Row],[Price_per_Unit]]</f>
        <v>0.57281553398058249</v>
      </c>
    </row>
    <row r="60" spans="1:17" x14ac:dyDescent="0.2">
      <c r="A60" s="1" t="s">
        <v>23</v>
      </c>
      <c r="B60" s="1" t="s">
        <v>18</v>
      </c>
      <c r="C60" s="1" t="s">
        <v>19</v>
      </c>
      <c r="D60" s="1" t="s">
        <v>13</v>
      </c>
      <c r="E60" s="1" t="s">
        <v>14</v>
      </c>
      <c r="F60" s="2">
        <v>2600</v>
      </c>
      <c r="G60" s="3">
        <v>6.45</v>
      </c>
      <c r="H60" s="3">
        <f>SalesTable[[#This Row],[Units_Sold]]*SalesTable[[#This Row],[Price_per_Unit]]</f>
        <v>16770</v>
      </c>
      <c r="I60">
        <f>_xlfn.XLOOKUP(SalesTable[[#This Row],[Product]],CostTable[Product],CostTable[Ingredient_Cost_per_Unit])</f>
        <v>2.4</v>
      </c>
      <c r="J60">
        <f>_xlfn.XLOOKUP(SalesTable[[#This Row],[Product]],CostTable[Product],CostTable[Packaging_Cost_per_Unit])</f>
        <v>0.3</v>
      </c>
      <c r="K60">
        <f>_xlfn.XLOOKUP(SalesTable[[#This Row],[Product]],CostTable[Product],CostTable[Labor_Cost_per_Unit])</f>
        <v>1.2</v>
      </c>
      <c r="L60" s="6">
        <f>SalesTable[[#This Row],[Ingredient_Cost_per_Unit]]+SalesTable[[#This Row],[Packaging_Cost_per_Unit]]+SalesTable[[#This Row],[Labor_Cost_per_Unit]]</f>
        <v>3.8999999999999995</v>
      </c>
      <c r="M60" s="2">
        <f>SalesTable[[#This Row],[Units_Sold]]*SalesTable[[#This Row],[Total_Cost_per_Unit]]</f>
        <v>10139.999999999998</v>
      </c>
      <c r="N60" s="2">
        <f>SalesTable[[#This Row],[Revenue]]-SalesTable[[#This Row],[Total_Cost]]</f>
        <v>6630.0000000000018</v>
      </c>
      <c r="O60" s="7">
        <f>SalesTable[[#This Row],[Gross_Profit]]/SalesTable[[#This Row],[Revenue]]</f>
        <v>0.39534883720930242</v>
      </c>
      <c r="P60" s="3">
        <f>SalesTable[[#This Row],[Price_per_Unit]]-SalesTable[[#This Row],[Total_Cost_per_Unit]]</f>
        <v>2.5500000000000007</v>
      </c>
      <c r="Q60" s="7">
        <f>SalesTable[[#This Row],[Contribution_Margin_per_Unit]]/SalesTable[[#This Row],[Price_per_Unit]]</f>
        <v>0.39534883720930242</v>
      </c>
    </row>
    <row r="61" spans="1:17" x14ac:dyDescent="0.2">
      <c r="A61" s="1" t="s">
        <v>23</v>
      </c>
      <c r="B61" s="1" t="s">
        <v>18</v>
      </c>
      <c r="C61" s="1" t="s">
        <v>19</v>
      </c>
      <c r="D61" s="1" t="s">
        <v>15</v>
      </c>
      <c r="E61" s="1" t="s">
        <v>14</v>
      </c>
      <c r="F61" s="2">
        <v>2300</v>
      </c>
      <c r="G61" s="3">
        <v>3.7</v>
      </c>
      <c r="H61" s="3">
        <f>SalesTable[[#This Row],[Units_Sold]]*SalesTable[[#This Row],[Price_per_Unit]]</f>
        <v>8510</v>
      </c>
      <c r="I61">
        <f>_xlfn.XLOOKUP(SalesTable[[#This Row],[Product]],CostTable[Product],CostTable[Ingredient_Cost_per_Unit])</f>
        <v>1.3</v>
      </c>
      <c r="J61">
        <f>_xlfn.XLOOKUP(SalesTable[[#This Row],[Product]],CostTable[Product],CostTable[Packaging_Cost_per_Unit])</f>
        <v>0.15</v>
      </c>
      <c r="K61">
        <f>_xlfn.XLOOKUP(SalesTable[[#This Row],[Product]],CostTable[Product],CostTable[Labor_Cost_per_Unit])</f>
        <v>0.6</v>
      </c>
      <c r="L61" s="6">
        <f>SalesTable[[#This Row],[Ingredient_Cost_per_Unit]]+SalesTable[[#This Row],[Packaging_Cost_per_Unit]]+SalesTable[[#This Row],[Labor_Cost_per_Unit]]</f>
        <v>2.0499999999999998</v>
      </c>
      <c r="M61" s="2">
        <f>SalesTable[[#This Row],[Units_Sold]]*SalesTable[[#This Row],[Total_Cost_per_Unit]]</f>
        <v>4715</v>
      </c>
      <c r="N61" s="2">
        <f>SalesTable[[#This Row],[Revenue]]-SalesTable[[#This Row],[Total_Cost]]</f>
        <v>3795</v>
      </c>
      <c r="O61" s="7">
        <f>SalesTable[[#This Row],[Gross_Profit]]/SalesTable[[#This Row],[Revenue]]</f>
        <v>0.44594594594594594</v>
      </c>
      <c r="P61" s="3">
        <f>SalesTable[[#This Row],[Price_per_Unit]]-SalesTable[[#This Row],[Total_Cost_per_Unit]]</f>
        <v>1.6500000000000004</v>
      </c>
      <c r="Q61" s="7">
        <f>SalesTable[[#This Row],[Contribution_Margin_per_Unit]]/SalesTable[[#This Row],[Price_per_Unit]]</f>
        <v>0.445945945945946</v>
      </c>
    </row>
    <row r="62" spans="1:17" x14ac:dyDescent="0.2">
      <c r="A62" s="1" t="s">
        <v>24</v>
      </c>
      <c r="B62" s="1" t="s">
        <v>8</v>
      </c>
      <c r="C62" s="1" t="s">
        <v>9</v>
      </c>
      <c r="D62" s="1" t="s">
        <v>10</v>
      </c>
      <c r="E62" s="1" t="s">
        <v>11</v>
      </c>
      <c r="F62" s="2">
        <v>8200</v>
      </c>
      <c r="G62" s="3">
        <v>4.75</v>
      </c>
      <c r="H62" s="3">
        <f>SalesTable[[#This Row],[Units_Sold]]*SalesTable[[#This Row],[Price_per_Unit]]</f>
        <v>38950</v>
      </c>
      <c r="I62">
        <f>_xlfn.XLOOKUP(SalesTable[[#This Row],[Product]],CostTable[Product],CostTable[Ingredient_Cost_per_Unit])</f>
        <v>1.25</v>
      </c>
      <c r="J62">
        <f>_xlfn.XLOOKUP(SalesTable[[#This Row],[Product]],CostTable[Product],CostTable[Packaging_Cost_per_Unit])</f>
        <v>0.2</v>
      </c>
      <c r="K62">
        <f>_xlfn.XLOOKUP(SalesTable[[#This Row],[Product]],CostTable[Product],CostTable[Labor_Cost_per_Unit])</f>
        <v>0.95</v>
      </c>
      <c r="L62" s="6">
        <f>SalesTable[[#This Row],[Ingredient_Cost_per_Unit]]+SalesTable[[#This Row],[Packaging_Cost_per_Unit]]+SalesTable[[#This Row],[Labor_Cost_per_Unit]]</f>
        <v>2.4</v>
      </c>
      <c r="M62" s="2">
        <f>SalesTable[[#This Row],[Units_Sold]]*SalesTable[[#This Row],[Total_Cost_per_Unit]]</f>
        <v>19680</v>
      </c>
      <c r="N62" s="2">
        <f>SalesTable[[#This Row],[Revenue]]-SalesTable[[#This Row],[Total_Cost]]</f>
        <v>19270</v>
      </c>
      <c r="O62" s="7">
        <f>SalesTable[[#This Row],[Gross_Profit]]/SalesTable[[#This Row],[Revenue]]</f>
        <v>0.49473684210526314</v>
      </c>
      <c r="P62" s="3">
        <f>SalesTable[[#This Row],[Price_per_Unit]]-SalesTable[[#This Row],[Total_Cost_per_Unit]]</f>
        <v>2.35</v>
      </c>
      <c r="Q62" s="7">
        <f>SalesTable[[#This Row],[Contribution_Margin_per_Unit]]/SalesTable[[#This Row],[Price_per_Unit]]</f>
        <v>0.4947368421052632</v>
      </c>
    </row>
    <row r="63" spans="1:17" x14ac:dyDescent="0.2">
      <c r="A63" s="1" t="s">
        <v>24</v>
      </c>
      <c r="B63" s="1" t="s">
        <v>8</v>
      </c>
      <c r="C63" s="1" t="s">
        <v>9</v>
      </c>
      <c r="D63" s="1" t="s">
        <v>12</v>
      </c>
      <c r="E63" s="1" t="s">
        <v>11</v>
      </c>
      <c r="F63" s="2">
        <v>6400</v>
      </c>
      <c r="G63" s="3">
        <v>5.25</v>
      </c>
      <c r="H63" s="3">
        <f>SalesTable[[#This Row],[Units_Sold]]*SalesTable[[#This Row],[Price_per_Unit]]</f>
        <v>33600</v>
      </c>
      <c r="I63">
        <f>_xlfn.XLOOKUP(SalesTable[[#This Row],[Product]],CostTable[Product],CostTable[Ingredient_Cost_per_Unit])</f>
        <v>1.1000000000000001</v>
      </c>
      <c r="J63">
        <f>_xlfn.XLOOKUP(SalesTable[[#This Row],[Product]],CostTable[Product],CostTable[Packaging_Cost_per_Unit])</f>
        <v>0.25</v>
      </c>
      <c r="K63">
        <f>_xlfn.XLOOKUP(SalesTable[[#This Row],[Product]],CostTable[Product],CostTable[Labor_Cost_per_Unit])</f>
        <v>0.85</v>
      </c>
      <c r="L63" s="6">
        <f>SalesTable[[#This Row],[Ingredient_Cost_per_Unit]]+SalesTable[[#This Row],[Packaging_Cost_per_Unit]]+SalesTable[[#This Row],[Labor_Cost_per_Unit]]</f>
        <v>2.2000000000000002</v>
      </c>
      <c r="M63" s="2">
        <f>SalesTable[[#This Row],[Units_Sold]]*SalesTable[[#This Row],[Total_Cost_per_Unit]]</f>
        <v>14080.000000000002</v>
      </c>
      <c r="N63" s="2">
        <f>SalesTable[[#This Row],[Revenue]]-SalesTable[[#This Row],[Total_Cost]]</f>
        <v>19520</v>
      </c>
      <c r="O63" s="7">
        <f>SalesTable[[#This Row],[Gross_Profit]]/SalesTable[[#This Row],[Revenue]]</f>
        <v>0.580952380952381</v>
      </c>
      <c r="P63" s="3">
        <f>SalesTable[[#This Row],[Price_per_Unit]]-SalesTable[[#This Row],[Total_Cost_per_Unit]]</f>
        <v>3.05</v>
      </c>
      <c r="Q63" s="7">
        <f>SalesTable[[#This Row],[Contribution_Margin_per_Unit]]/SalesTable[[#This Row],[Price_per_Unit]]</f>
        <v>0.58095238095238089</v>
      </c>
    </row>
    <row r="64" spans="1:17" x14ac:dyDescent="0.2">
      <c r="A64" s="1" t="s">
        <v>24</v>
      </c>
      <c r="B64" s="1" t="s">
        <v>8</v>
      </c>
      <c r="C64" s="1" t="s">
        <v>9</v>
      </c>
      <c r="D64" s="1" t="s">
        <v>13</v>
      </c>
      <c r="E64" s="1" t="s">
        <v>14</v>
      </c>
      <c r="F64" s="2">
        <v>3100</v>
      </c>
      <c r="G64" s="3">
        <v>6.5</v>
      </c>
      <c r="H64" s="3">
        <f>SalesTable[[#This Row],[Units_Sold]]*SalesTable[[#This Row],[Price_per_Unit]]</f>
        <v>20150</v>
      </c>
      <c r="I64">
        <f>_xlfn.XLOOKUP(SalesTable[[#This Row],[Product]],CostTable[Product],CostTable[Ingredient_Cost_per_Unit])</f>
        <v>2.4</v>
      </c>
      <c r="J64">
        <f>_xlfn.XLOOKUP(SalesTable[[#This Row],[Product]],CostTable[Product],CostTable[Packaging_Cost_per_Unit])</f>
        <v>0.3</v>
      </c>
      <c r="K64">
        <f>_xlfn.XLOOKUP(SalesTable[[#This Row],[Product]],CostTable[Product],CostTable[Labor_Cost_per_Unit])</f>
        <v>1.2</v>
      </c>
      <c r="L64" s="6">
        <f>SalesTable[[#This Row],[Ingredient_Cost_per_Unit]]+SalesTable[[#This Row],[Packaging_Cost_per_Unit]]+SalesTable[[#This Row],[Labor_Cost_per_Unit]]</f>
        <v>3.8999999999999995</v>
      </c>
      <c r="M64" s="2">
        <f>SalesTable[[#This Row],[Units_Sold]]*SalesTable[[#This Row],[Total_Cost_per_Unit]]</f>
        <v>12089.999999999998</v>
      </c>
      <c r="N64" s="2">
        <f>SalesTable[[#This Row],[Revenue]]-SalesTable[[#This Row],[Total_Cost]]</f>
        <v>8060.0000000000018</v>
      </c>
      <c r="O64" s="7">
        <f>SalesTable[[#This Row],[Gross_Profit]]/SalesTable[[#This Row],[Revenue]]</f>
        <v>0.40000000000000008</v>
      </c>
      <c r="P64" s="3">
        <f>SalesTable[[#This Row],[Price_per_Unit]]-SalesTable[[#This Row],[Total_Cost_per_Unit]]</f>
        <v>2.6000000000000005</v>
      </c>
      <c r="Q64" s="7">
        <f>SalesTable[[#This Row],[Contribution_Margin_per_Unit]]/SalesTable[[#This Row],[Price_per_Unit]]</f>
        <v>0.40000000000000008</v>
      </c>
    </row>
    <row r="65" spans="1:17" x14ac:dyDescent="0.2">
      <c r="A65" s="1" t="s">
        <v>24</v>
      </c>
      <c r="B65" s="1" t="s">
        <v>8</v>
      </c>
      <c r="C65" s="1" t="s">
        <v>9</v>
      </c>
      <c r="D65" s="1" t="s">
        <v>15</v>
      </c>
      <c r="E65" s="1" t="s">
        <v>14</v>
      </c>
      <c r="F65" s="2">
        <v>2700</v>
      </c>
      <c r="G65" s="3">
        <v>3.75</v>
      </c>
      <c r="H65" s="3">
        <f>SalesTable[[#This Row],[Units_Sold]]*SalesTable[[#This Row],[Price_per_Unit]]</f>
        <v>10125</v>
      </c>
      <c r="I65">
        <f>_xlfn.XLOOKUP(SalesTable[[#This Row],[Product]],CostTable[Product],CostTable[Ingredient_Cost_per_Unit])</f>
        <v>1.3</v>
      </c>
      <c r="J65">
        <f>_xlfn.XLOOKUP(SalesTable[[#This Row],[Product]],CostTable[Product],CostTable[Packaging_Cost_per_Unit])</f>
        <v>0.15</v>
      </c>
      <c r="K65">
        <f>_xlfn.XLOOKUP(SalesTable[[#This Row],[Product]],CostTable[Product],CostTable[Labor_Cost_per_Unit])</f>
        <v>0.6</v>
      </c>
      <c r="L65" s="6">
        <f>SalesTable[[#This Row],[Ingredient_Cost_per_Unit]]+SalesTable[[#This Row],[Packaging_Cost_per_Unit]]+SalesTable[[#This Row],[Labor_Cost_per_Unit]]</f>
        <v>2.0499999999999998</v>
      </c>
      <c r="M65" s="2">
        <f>SalesTable[[#This Row],[Units_Sold]]*SalesTable[[#This Row],[Total_Cost_per_Unit]]</f>
        <v>5534.9999999999991</v>
      </c>
      <c r="N65" s="2">
        <f>SalesTable[[#This Row],[Revenue]]-SalesTable[[#This Row],[Total_Cost]]</f>
        <v>4590.0000000000009</v>
      </c>
      <c r="O65" s="7">
        <f>SalesTable[[#This Row],[Gross_Profit]]/SalesTable[[#This Row],[Revenue]]</f>
        <v>0.45333333333333342</v>
      </c>
      <c r="P65" s="3">
        <f>SalesTable[[#This Row],[Price_per_Unit]]-SalesTable[[#This Row],[Total_Cost_per_Unit]]</f>
        <v>1.7000000000000002</v>
      </c>
      <c r="Q65" s="7">
        <f>SalesTable[[#This Row],[Contribution_Margin_per_Unit]]/SalesTable[[#This Row],[Price_per_Unit]]</f>
        <v>0.45333333333333337</v>
      </c>
    </row>
    <row r="66" spans="1:17" x14ac:dyDescent="0.2">
      <c r="A66" s="1" t="s">
        <v>24</v>
      </c>
      <c r="B66" s="1" t="s">
        <v>16</v>
      </c>
      <c r="C66" s="1" t="s">
        <v>17</v>
      </c>
      <c r="D66" s="1" t="s">
        <v>10</v>
      </c>
      <c r="E66" s="1" t="s">
        <v>11</v>
      </c>
      <c r="F66" s="2">
        <v>7600</v>
      </c>
      <c r="G66" s="3">
        <v>4.6500000000000004</v>
      </c>
      <c r="H66" s="3">
        <f>SalesTable[[#This Row],[Units_Sold]]*SalesTable[[#This Row],[Price_per_Unit]]</f>
        <v>35340</v>
      </c>
      <c r="I66">
        <f>_xlfn.XLOOKUP(SalesTable[[#This Row],[Product]],CostTable[Product],CostTable[Ingredient_Cost_per_Unit])</f>
        <v>1.25</v>
      </c>
      <c r="J66">
        <f>_xlfn.XLOOKUP(SalesTable[[#This Row],[Product]],CostTable[Product],CostTable[Packaging_Cost_per_Unit])</f>
        <v>0.2</v>
      </c>
      <c r="K66">
        <f>_xlfn.XLOOKUP(SalesTable[[#This Row],[Product]],CostTable[Product],CostTable[Labor_Cost_per_Unit])</f>
        <v>0.95</v>
      </c>
      <c r="L66" s="6">
        <f>SalesTable[[#This Row],[Ingredient_Cost_per_Unit]]+SalesTable[[#This Row],[Packaging_Cost_per_Unit]]+SalesTable[[#This Row],[Labor_Cost_per_Unit]]</f>
        <v>2.4</v>
      </c>
      <c r="M66" s="2">
        <f>SalesTable[[#This Row],[Units_Sold]]*SalesTable[[#This Row],[Total_Cost_per_Unit]]</f>
        <v>18240</v>
      </c>
      <c r="N66" s="2">
        <f>SalesTable[[#This Row],[Revenue]]-SalesTable[[#This Row],[Total_Cost]]</f>
        <v>17100</v>
      </c>
      <c r="O66" s="7">
        <f>SalesTable[[#This Row],[Gross_Profit]]/SalesTable[[#This Row],[Revenue]]</f>
        <v>0.4838709677419355</v>
      </c>
      <c r="P66" s="3">
        <f>SalesTable[[#This Row],[Price_per_Unit]]-SalesTable[[#This Row],[Total_Cost_per_Unit]]</f>
        <v>2.2500000000000004</v>
      </c>
      <c r="Q66" s="7">
        <f>SalesTable[[#This Row],[Contribution_Margin_per_Unit]]/SalesTable[[#This Row],[Price_per_Unit]]</f>
        <v>0.48387096774193555</v>
      </c>
    </row>
    <row r="67" spans="1:17" x14ac:dyDescent="0.2">
      <c r="A67" s="1" t="s">
        <v>24</v>
      </c>
      <c r="B67" s="1" t="s">
        <v>16</v>
      </c>
      <c r="C67" s="1" t="s">
        <v>17</v>
      </c>
      <c r="D67" s="1" t="s">
        <v>12</v>
      </c>
      <c r="E67" s="1" t="s">
        <v>11</v>
      </c>
      <c r="F67" s="2">
        <v>5800</v>
      </c>
      <c r="G67" s="3">
        <v>5.0999999999999996</v>
      </c>
      <c r="H67" s="3">
        <f>SalesTable[[#This Row],[Units_Sold]]*SalesTable[[#This Row],[Price_per_Unit]]</f>
        <v>29579.999999999996</v>
      </c>
      <c r="I67">
        <f>_xlfn.XLOOKUP(SalesTable[[#This Row],[Product]],CostTable[Product],CostTable[Ingredient_Cost_per_Unit])</f>
        <v>1.1000000000000001</v>
      </c>
      <c r="J67">
        <f>_xlfn.XLOOKUP(SalesTable[[#This Row],[Product]],CostTable[Product],CostTable[Packaging_Cost_per_Unit])</f>
        <v>0.25</v>
      </c>
      <c r="K67">
        <f>_xlfn.XLOOKUP(SalesTable[[#This Row],[Product]],CostTable[Product],CostTable[Labor_Cost_per_Unit])</f>
        <v>0.85</v>
      </c>
      <c r="L67" s="6">
        <f>SalesTable[[#This Row],[Ingredient_Cost_per_Unit]]+SalesTable[[#This Row],[Packaging_Cost_per_Unit]]+SalesTable[[#This Row],[Labor_Cost_per_Unit]]</f>
        <v>2.2000000000000002</v>
      </c>
      <c r="M67" s="2">
        <f>SalesTable[[#This Row],[Units_Sold]]*SalesTable[[#This Row],[Total_Cost_per_Unit]]</f>
        <v>12760.000000000002</v>
      </c>
      <c r="N67" s="2">
        <f>SalesTable[[#This Row],[Revenue]]-SalesTable[[#This Row],[Total_Cost]]</f>
        <v>16819.999999999993</v>
      </c>
      <c r="O67" s="7">
        <f>SalesTable[[#This Row],[Gross_Profit]]/SalesTable[[#This Row],[Revenue]]</f>
        <v>0.56862745098039202</v>
      </c>
      <c r="P67" s="3">
        <f>SalesTable[[#This Row],[Price_per_Unit]]-SalesTable[[#This Row],[Total_Cost_per_Unit]]</f>
        <v>2.8999999999999995</v>
      </c>
      <c r="Q67" s="7">
        <f>SalesTable[[#This Row],[Contribution_Margin_per_Unit]]/SalesTable[[#This Row],[Price_per_Unit]]</f>
        <v>0.56862745098039214</v>
      </c>
    </row>
    <row r="68" spans="1:17" x14ac:dyDescent="0.2">
      <c r="A68" s="1" t="s">
        <v>24</v>
      </c>
      <c r="B68" s="1" t="s">
        <v>16</v>
      </c>
      <c r="C68" s="1" t="s">
        <v>17</v>
      </c>
      <c r="D68" s="1" t="s">
        <v>13</v>
      </c>
      <c r="E68" s="1" t="s">
        <v>14</v>
      </c>
      <c r="F68" s="2">
        <v>2900</v>
      </c>
      <c r="G68" s="3">
        <v>6.4</v>
      </c>
      <c r="H68" s="3">
        <f>SalesTable[[#This Row],[Units_Sold]]*SalesTable[[#This Row],[Price_per_Unit]]</f>
        <v>18560</v>
      </c>
      <c r="I68">
        <f>_xlfn.XLOOKUP(SalesTable[[#This Row],[Product]],CostTable[Product],CostTable[Ingredient_Cost_per_Unit])</f>
        <v>2.4</v>
      </c>
      <c r="J68">
        <f>_xlfn.XLOOKUP(SalesTable[[#This Row],[Product]],CostTable[Product],CostTable[Packaging_Cost_per_Unit])</f>
        <v>0.3</v>
      </c>
      <c r="K68">
        <f>_xlfn.XLOOKUP(SalesTable[[#This Row],[Product]],CostTable[Product],CostTable[Labor_Cost_per_Unit])</f>
        <v>1.2</v>
      </c>
      <c r="L68" s="6">
        <f>SalesTable[[#This Row],[Ingredient_Cost_per_Unit]]+SalesTable[[#This Row],[Packaging_Cost_per_Unit]]+SalesTable[[#This Row],[Labor_Cost_per_Unit]]</f>
        <v>3.8999999999999995</v>
      </c>
      <c r="M68" s="2">
        <f>SalesTable[[#This Row],[Units_Sold]]*SalesTable[[#This Row],[Total_Cost_per_Unit]]</f>
        <v>11309.999999999998</v>
      </c>
      <c r="N68" s="2">
        <f>SalesTable[[#This Row],[Revenue]]-SalesTable[[#This Row],[Total_Cost]]</f>
        <v>7250.0000000000018</v>
      </c>
      <c r="O68" s="7">
        <f>SalesTable[[#This Row],[Gross_Profit]]/SalesTable[[#This Row],[Revenue]]</f>
        <v>0.39062500000000011</v>
      </c>
      <c r="P68" s="3">
        <f>SalesTable[[#This Row],[Price_per_Unit]]-SalesTable[[#This Row],[Total_Cost_per_Unit]]</f>
        <v>2.5000000000000009</v>
      </c>
      <c r="Q68" s="7">
        <f>SalesTable[[#This Row],[Contribution_Margin_per_Unit]]/SalesTable[[#This Row],[Price_per_Unit]]</f>
        <v>0.39062500000000011</v>
      </c>
    </row>
    <row r="69" spans="1:17" x14ac:dyDescent="0.2">
      <c r="A69" s="1" t="s">
        <v>24</v>
      </c>
      <c r="B69" s="1" t="s">
        <v>16</v>
      </c>
      <c r="C69" s="1" t="s">
        <v>17</v>
      </c>
      <c r="D69" s="1" t="s">
        <v>15</v>
      </c>
      <c r="E69" s="1" t="s">
        <v>14</v>
      </c>
      <c r="F69" s="2">
        <v>2500</v>
      </c>
      <c r="G69" s="3">
        <v>3.65</v>
      </c>
      <c r="H69" s="3">
        <f>SalesTable[[#This Row],[Units_Sold]]*SalesTable[[#This Row],[Price_per_Unit]]</f>
        <v>9125</v>
      </c>
      <c r="I69">
        <f>_xlfn.XLOOKUP(SalesTable[[#This Row],[Product]],CostTable[Product],CostTable[Ingredient_Cost_per_Unit])</f>
        <v>1.3</v>
      </c>
      <c r="J69">
        <f>_xlfn.XLOOKUP(SalesTable[[#This Row],[Product]],CostTable[Product],CostTable[Packaging_Cost_per_Unit])</f>
        <v>0.15</v>
      </c>
      <c r="K69">
        <f>_xlfn.XLOOKUP(SalesTable[[#This Row],[Product]],CostTable[Product],CostTable[Labor_Cost_per_Unit])</f>
        <v>0.6</v>
      </c>
      <c r="L69" s="6">
        <f>SalesTable[[#This Row],[Ingredient_Cost_per_Unit]]+SalesTable[[#This Row],[Packaging_Cost_per_Unit]]+SalesTable[[#This Row],[Labor_Cost_per_Unit]]</f>
        <v>2.0499999999999998</v>
      </c>
      <c r="M69" s="2">
        <f>SalesTable[[#This Row],[Units_Sold]]*SalesTable[[#This Row],[Total_Cost_per_Unit]]</f>
        <v>5125</v>
      </c>
      <c r="N69" s="2">
        <f>SalesTable[[#This Row],[Revenue]]-SalesTable[[#This Row],[Total_Cost]]</f>
        <v>4000</v>
      </c>
      <c r="O69" s="7">
        <f>SalesTable[[#This Row],[Gross_Profit]]/SalesTable[[#This Row],[Revenue]]</f>
        <v>0.43835616438356162</v>
      </c>
      <c r="P69" s="3">
        <f>SalesTable[[#This Row],[Price_per_Unit]]-SalesTable[[#This Row],[Total_Cost_per_Unit]]</f>
        <v>1.6</v>
      </c>
      <c r="Q69" s="7">
        <f>SalesTable[[#This Row],[Contribution_Margin_per_Unit]]/SalesTable[[#This Row],[Price_per_Unit]]</f>
        <v>0.43835616438356168</v>
      </c>
    </row>
    <row r="70" spans="1:17" x14ac:dyDescent="0.2">
      <c r="A70" s="1" t="s">
        <v>24</v>
      </c>
      <c r="B70" s="1" t="s">
        <v>18</v>
      </c>
      <c r="C70" s="1" t="s">
        <v>19</v>
      </c>
      <c r="D70" s="1" t="s">
        <v>10</v>
      </c>
      <c r="E70" s="1" t="s">
        <v>11</v>
      </c>
      <c r="F70" s="2">
        <v>6900</v>
      </c>
      <c r="G70" s="3">
        <v>4.7</v>
      </c>
      <c r="H70" s="3">
        <f>SalesTable[[#This Row],[Units_Sold]]*SalesTable[[#This Row],[Price_per_Unit]]</f>
        <v>32430</v>
      </c>
      <c r="I70">
        <f>_xlfn.XLOOKUP(SalesTable[[#This Row],[Product]],CostTable[Product],CostTable[Ingredient_Cost_per_Unit])</f>
        <v>1.25</v>
      </c>
      <c r="J70">
        <f>_xlfn.XLOOKUP(SalesTable[[#This Row],[Product]],CostTable[Product],CostTable[Packaging_Cost_per_Unit])</f>
        <v>0.2</v>
      </c>
      <c r="K70">
        <f>_xlfn.XLOOKUP(SalesTable[[#This Row],[Product]],CostTable[Product],CostTable[Labor_Cost_per_Unit])</f>
        <v>0.95</v>
      </c>
      <c r="L70" s="6">
        <f>SalesTable[[#This Row],[Ingredient_Cost_per_Unit]]+SalesTable[[#This Row],[Packaging_Cost_per_Unit]]+SalesTable[[#This Row],[Labor_Cost_per_Unit]]</f>
        <v>2.4</v>
      </c>
      <c r="M70" s="2">
        <f>SalesTable[[#This Row],[Units_Sold]]*SalesTable[[#This Row],[Total_Cost_per_Unit]]</f>
        <v>16560</v>
      </c>
      <c r="N70" s="2">
        <f>SalesTable[[#This Row],[Revenue]]-SalesTable[[#This Row],[Total_Cost]]</f>
        <v>15870</v>
      </c>
      <c r="O70" s="7">
        <f>SalesTable[[#This Row],[Gross_Profit]]/SalesTable[[#This Row],[Revenue]]</f>
        <v>0.48936170212765956</v>
      </c>
      <c r="P70" s="3">
        <f>SalesTable[[#This Row],[Price_per_Unit]]-SalesTable[[#This Row],[Total_Cost_per_Unit]]</f>
        <v>2.3000000000000003</v>
      </c>
      <c r="Q70" s="7">
        <f>SalesTable[[#This Row],[Contribution_Margin_per_Unit]]/SalesTable[[#This Row],[Price_per_Unit]]</f>
        <v>0.48936170212765961</v>
      </c>
    </row>
    <row r="71" spans="1:17" x14ac:dyDescent="0.2">
      <c r="A71" s="1" t="s">
        <v>24</v>
      </c>
      <c r="B71" s="1" t="s">
        <v>18</v>
      </c>
      <c r="C71" s="1" t="s">
        <v>19</v>
      </c>
      <c r="D71" s="1" t="s">
        <v>12</v>
      </c>
      <c r="E71" s="1" t="s">
        <v>11</v>
      </c>
      <c r="F71" s="2">
        <v>5100</v>
      </c>
      <c r="G71" s="3">
        <v>5.15</v>
      </c>
      <c r="H71" s="3">
        <f>SalesTable[[#This Row],[Units_Sold]]*SalesTable[[#This Row],[Price_per_Unit]]</f>
        <v>26265</v>
      </c>
      <c r="I71">
        <f>_xlfn.XLOOKUP(SalesTable[[#This Row],[Product]],CostTable[Product],CostTable[Ingredient_Cost_per_Unit])</f>
        <v>1.1000000000000001</v>
      </c>
      <c r="J71">
        <f>_xlfn.XLOOKUP(SalesTable[[#This Row],[Product]],CostTable[Product],CostTable[Packaging_Cost_per_Unit])</f>
        <v>0.25</v>
      </c>
      <c r="K71">
        <f>_xlfn.XLOOKUP(SalesTable[[#This Row],[Product]],CostTable[Product],CostTable[Labor_Cost_per_Unit])</f>
        <v>0.85</v>
      </c>
      <c r="L71" s="6">
        <f>SalesTable[[#This Row],[Ingredient_Cost_per_Unit]]+SalesTable[[#This Row],[Packaging_Cost_per_Unit]]+SalesTable[[#This Row],[Labor_Cost_per_Unit]]</f>
        <v>2.2000000000000002</v>
      </c>
      <c r="M71" s="2">
        <f>SalesTable[[#This Row],[Units_Sold]]*SalesTable[[#This Row],[Total_Cost_per_Unit]]</f>
        <v>11220</v>
      </c>
      <c r="N71" s="2">
        <f>SalesTable[[#This Row],[Revenue]]-SalesTable[[#This Row],[Total_Cost]]</f>
        <v>15045</v>
      </c>
      <c r="O71" s="7">
        <f>SalesTable[[#This Row],[Gross_Profit]]/SalesTable[[#This Row],[Revenue]]</f>
        <v>0.57281553398058249</v>
      </c>
      <c r="P71" s="3">
        <f>SalesTable[[#This Row],[Price_per_Unit]]-SalesTable[[#This Row],[Total_Cost_per_Unit]]</f>
        <v>2.95</v>
      </c>
      <c r="Q71" s="7">
        <f>SalesTable[[#This Row],[Contribution_Margin_per_Unit]]/SalesTable[[#This Row],[Price_per_Unit]]</f>
        <v>0.57281553398058249</v>
      </c>
    </row>
    <row r="72" spans="1:17" x14ac:dyDescent="0.2">
      <c r="A72" s="1" t="s">
        <v>24</v>
      </c>
      <c r="B72" s="1" t="s">
        <v>18</v>
      </c>
      <c r="C72" s="1" t="s">
        <v>19</v>
      </c>
      <c r="D72" s="1" t="s">
        <v>13</v>
      </c>
      <c r="E72" s="1" t="s">
        <v>14</v>
      </c>
      <c r="F72" s="2">
        <v>2600</v>
      </c>
      <c r="G72" s="3">
        <v>6.45</v>
      </c>
      <c r="H72" s="3">
        <f>SalesTable[[#This Row],[Units_Sold]]*SalesTable[[#This Row],[Price_per_Unit]]</f>
        <v>16770</v>
      </c>
      <c r="I72">
        <f>_xlfn.XLOOKUP(SalesTable[[#This Row],[Product]],CostTable[Product],CostTable[Ingredient_Cost_per_Unit])</f>
        <v>2.4</v>
      </c>
      <c r="J72">
        <f>_xlfn.XLOOKUP(SalesTable[[#This Row],[Product]],CostTable[Product],CostTable[Packaging_Cost_per_Unit])</f>
        <v>0.3</v>
      </c>
      <c r="K72">
        <f>_xlfn.XLOOKUP(SalesTable[[#This Row],[Product]],CostTable[Product],CostTable[Labor_Cost_per_Unit])</f>
        <v>1.2</v>
      </c>
      <c r="L72" s="6">
        <f>SalesTable[[#This Row],[Ingredient_Cost_per_Unit]]+SalesTable[[#This Row],[Packaging_Cost_per_Unit]]+SalesTable[[#This Row],[Labor_Cost_per_Unit]]</f>
        <v>3.8999999999999995</v>
      </c>
      <c r="M72" s="2">
        <f>SalesTable[[#This Row],[Units_Sold]]*SalesTable[[#This Row],[Total_Cost_per_Unit]]</f>
        <v>10139.999999999998</v>
      </c>
      <c r="N72" s="2">
        <f>SalesTable[[#This Row],[Revenue]]-SalesTable[[#This Row],[Total_Cost]]</f>
        <v>6630.0000000000018</v>
      </c>
      <c r="O72" s="7">
        <f>SalesTable[[#This Row],[Gross_Profit]]/SalesTable[[#This Row],[Revenue]]</f>
        <v>0.39534883720930242</v>
      </c>
      <c r="P72" s="3">
        <f>SalesTable[[#This Row],[Price_per_Unit]]-SalesTable[[#This Row],[Total_Cost_per_Unit]]</f>
        <v>2.5500000000000007</v>
      </c>
      <c r="Q72" s="7">
        <f>SalesTable[[#This Row],[Contribution_Margin_per_Unit]]/SalesTable[[#This Row],[Price_per_Unit]]</f>
        <v>0.39534883720930242</v>
      </c>
    </row>
    <row r="73" spans="1:17" x14ac:dyDescent="0.2">
      <c r="A73" s="1" t="s">
        <v>24</v>
      </c>
      <c r="B73" s="1" t="s">
        <v>18</v>
      </c>
      <c r="C73" s="1" t="s">
        <v>19</v>
      </c>
      <c r="D73" s="1" t="s">
        <v>15</v>
      </c>
      <c r="E73" s="1" t="s">
        <v>14</v>
      </c>
      <c r="F73" s="2">
        <v>2300</v>
      </c>
      <c r="G73" s="3">
        <v>3.7</v>
      </c>
      <c r="H73" s="3">
        <f>SalesTable[[#This Row],[Units_Sold]]*SalesTable[[#This Row],[Price_per_Unit]]</f>
        <v>8510</v>
      </c>
      <c r="I73">
        <f>_xlfn.XLOOKUP(SalesTable[[#This Row],[Product]],CostTable[Product],CostTable[Ingredient_Cost_per_Unit])</f>
        <v>1.3</v>
      </c>
      <c r="J73">
        <f>_xlfn.XLOOKUP(SalesTable[[#This Row],[Product]],CostTable[Product],CostTable[Packaging_Cost_per_Unit])</f>
        <v>0.15</v>
      </c>
      <c r="K73">
        <f>_xlfn.XLOOKUP(SalesTable[[#This Row],[Product]],CostTable[Product],CostTable[Labor_Cost_per_Unit])</f>
        <v>0.6</v>
      </c>
      <c r="L73" s="6">
        <f>SalesTable[[#This Row],[Ingredient_Cost_per_Unit]]+SalesTable[[#This Row],[Packaging_Cost_per_Unit]]+SalesTable[[#This Row],[Labor_Cost_per_Unit]]</f>
        <v>2.0499999999999998</v>
      </c>
      <c r="M73" s="2">
        <f>SalesTable[[#This Row],[Units_Sold]]*SalesTable[[#This Row],[Total_Cost_per_Unit]]</f>
        <v>4715</v>
      </c>
      <c r="N73" s="2">
        <f>SalesTable[[#This Row],[Revenue]]-SalesTable[[#This Row],[Total_Cost]]</f>
        <v>3795</v>
      </c>
      <c r="O73" s="7">
        <f>SalesTable[[#This Row],[Gross_Profit]]/SalesTable[[#This Row],[Revenue]]</f>
        <v>0.44594594594594594</v>
      </c>
      <c r="P73" s="3">
        <f>SalesTable[[#This Row],[Price_per_Unit]]-SalesTable[[#This Row],[Total_Cost_per_Unit]]</f>
        <v>1.6500000000000004</v>
      </c>
      <c r="Q73" s="7">
        <f>SalesTable[[#This Row],[Contribution_Margin_per_Unit]]/SalesTable[[#This Row],[Price_per_Unit]]</f>
        <v>0.445945945945946</v>
      </c>
    </row>
  </sheetData>
  <phoneticPr fontId="2" type="noConversion"/>
  <dataValidations count="6">
    <dataValidation type="whole" operator="greaterThan" allowBlank="1" showInputMessage="1" showErrorMessage="1" sqref="F1:F1048576" xr:uid="{E7801071-DD92-7847-B90B-D3C1D9A328AE}">
      <formula1>0</formula1>
    </dataValidation>
    <dataValidation type="decimal" operator="greaterThan" allowBlank="1" showInputMessage="1" showErrorMessage="1" sqref="G1:G1048576" xr:uid="{3F767A3E-26C5-F64A-ABF2-B8328330C1A0}">
      <formula1>0</formula1>
    </dataValidation>
    <dataValidation type="list" allowBlank="1" showInputMessage="1" showErrorMessage="1" sqref="C1:C1048576" xr:uid="{F0AEF011-2F57-E24E-A63E-4FC2D9BA32AD}">
      <formula1>$U$2:$U$4</formula1>
    </dataValidation>
    <dataValidation type="list" allowBlank="1" showInputMessage="1" showErrorMessage="1" sqref="D1:D1048576" xr:uid="{455EB7D1-D76E-6446-A607-E17E22835246}">
      <formula1>$V$2:$V$5</formula1>
    </dataValidation>
    <dataValidation type="list" allowBlank="1" showInputMessage="1" showErrorMessage="1" sqref="E1:E1048576" xr:uid="{61ACBA82-5E57-0D48-B911-904D91C9F507}">
      <formula1>$W$2:$W$3</formula1>
    </dataValidation>
    <dataValidation type="list" allowBlank="1" showInputMessage="1" showErrorMessage="1" sqref="B1:B1048576" xr:uid="{83A41333-56C2-1946-9945-BC8C24AB6C09}">
      <formula1>$X$2:$X$4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1497-1391-C344-9411-7D93046EA13B}">
  <dimension ref="A1:D5"/>
  <sheetViews>
    <sheetView showGridLines="0" zoomScale="120" zoomScaleNormal="120" workbookViewId="0">
      <selection activeCell="D14" sqref="D14"/>
    </sheetView>
  </sheetViews>
  <sheetFormatPr baseColWidth="10" defaultRowHeight="16" x14ac:dyDescent="0.2"/>
  <cols>
    <col min="1" max="1" width="10.1640625" style="1" bestFit="1" customWidth="1"/>
    <col min="2" max="2" width="24.83203125" style="3" bestFit="1" customWidth="1"/>
    <col min="3" max="3" width="25.1640625" style="3" bestFit="1" customWidth="1"/>
    <col min="4" max="4" width="21" style="3" bestFit="1" customWidth="1"/>
  </cols>
  <sheetData>
    <row r="1" spans="1:4" s="4" customFormat="1" x14ac:dyDescent="0.2">
      <c r="A1" s="24" t="s">
        <v>3</v>
      </c>
      <c r="B1" s="25" t="s">
        <v>29</v>
      </c>
      <c r="C1" s="25" t="s">
        <v>30</v>
      </c>
      <c r="D1" s="26" t="s">
        <v>31</v>
      </c>
    </row>
    <row r="2" spans="1:4" x14ac:dyDescent="0.2">
      <c r="A2" s="27" t="s">
        <v>10</v>
      </c>
      <c r="B2" s="28">
        <v>1.25</v>
      </c>
      <c r="C2" s="28">
        <v>0.2</v>
      </c>
      <c r="D2" s="29">
        <v>0.95</v>
      </c>
    </row>
    <row r="3" spans="1:4" x14ac:dyDescent="0.2">
      <c r="A3" s="27" t="s">
        <v>12</v>
      </c>
      <c r="B3" s="28">
        <v>1.1000000000000001</v>
      </c>
      <c r="C3" s="28">
        <v>0.25</v>
      </c>
      <c r="D3" s="29">
        <v>0.85</v>
      </c>
    </row>
    <row r="4" spans="1:4" x14ac:dyDescent="0.2">
      <c r="A4" s="27" t="s">
        <v>13</v>
      </c>
      <c r="B4" s="28">
        <v>2.4</v>
      </c>
      <c r="C4" s="28">
        <v>0.3</v>
      </c>
      <c r="D4" s="29">
        <v>1.2</v>
      </c>
    </row>
    <row r="5" spans="1:4" x14ac:dyDescent="0.2">
      <c r="A5" s="30" t="s">
        <v>15</v>
      </c>
      <c r="B5" s="31">
        <v>1.3</v>
      </c>
      <c r="C5" s="31">
        <v>0.15</v>
      </c>
      <c r="D5" s="32">
        <v>0.6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1BA8-0890-9B43-B58A-7A01F0550384}">
  <dimension ref="A1:K36"/>
  <sheetViews>
    <sheetView showGridLines="0" zoomScale="120" zoomScaleNormal="120" workbookViewId="0">
      <selection activeCell="K21" sqref="K21"/>
    </sheetView>
  </sheetViews>
  <sheetFormatPr baseColWidth="10" defaultRowHeight="16" x14ac:dyDescent="0.2"/>
  <cols>
    <col min="1" max="1" width="12.1640625" customWidth="1"/>
    <col min="2" max="2" width="12.5" bestFit="1" customWidth="1"/>
    <col min="3" max="3" width="15.5" bestFit="1" customWidth="1"/>
    <col min="4" max="4" width="13.6640625" bestFit="1" customWidth="1"/>
    <col min="5" max="5" width="18.83203125" bestFit="1" customWidth="1"/>
    <col min="6" max="6" width="14.83203125" bestFit="1" customWidth="1"/>
    <col min="7" max="7" width="15.6640625" bestFit="1" customWidth="1"/>
    <col min="10" max="10" width="13" bestFit="1" customWidth="1"/>
    <col min="11" max="11" width="24.6640625" bestFit="1" customWidth="1"/>
    <col min="12" max="13" width="28.83203125" bestFit="1" customWidth="1"/>
  </cols>
  <sheetData>
    <row r="1" spans="1:11" x14ac:dyDescent="0.2">
      <c r="A1" s="12" t="s">
        <v>39</v>
      </c>
      <c r="B1" s="12" t="s">
        <v>41</v>
      </c>
      <c r="C1" s="12" t="s">
        <v>42</v>
      </c>
      <c r="D1" s="12" t="s">
        <v>43</v>
      </c>
      <c r="E1" s="12" t="s">
        <v>44</v>
      </c>
      <c r="J1" s="12" t="s">
        <v>39</v>
      </c>
      <c r="K1" s="12" t="s">
        <v>53</v>
      </c>
    </row>
    <row r="2" spans="1:11" x14ac:dyDescent="0.2">
      <c r="A2" s="8" t="s">
        <v>10</v>
      </c>
      <c r="B2" s="2">
        <v>640320</v>
      </c>
      <c r="C2" s="2">
        <v>313440</v>
      </c>
      <c r="D2" s="2">
        <v>136200</v>
      </c>
      <c r="E2" s="7">
        <v>0.48950524737631185</v>
      </c>
      <c r="J2" s="8" t="s">
        <v>10</v>
      </c>
      <c r="K2" s="2">
        <v>313440</v>
      </c>
    </row>
    <row r="3" spans="1:11" x14ac:dyDescent="0.2">
      <c r="A3" s="8" t="s">
        <v>12</v>
      </c>
      <c r="B3" s="2">
        <v>536670</v>
      </c>
      <c r="C3" s="2">
        <v>308310</v>
      </c>
      <c r="D3" s="2">
        <v>103800</v>
      </c>
      <c r="E3" s="7">
        <v>0.57448711498686345</v>
      </c>
      <c r="J3" s="8" t="s">
        <v>12</v>
      </c>
      <c r="K3" s="2">
        <v>308310</v>
      </c>
    </row>
    <row r="4" spans="1:11" x14ac:dyDescent="0.2">
      <c r="A4" s="8" t="s">
        <v>13</v>
      </c>
      <c r="B4" s="2">
        <v>332880</v>
      </c>
      <c r="C4" s="2">
        <v>131640.00000000003</v>
      </c>
      <c r="D4" s="2">
        <v>51600</v>
      </c>
      <c r="E4" s="7">
        <v>0.39545782263878881</v>
      </c>
      <c r="J4" s="8" t="s">
        <v>13</v>
      </c>
      <c r="K4" s="2">
        <v>131640.00000000003</v>
      </c>
    </row>
    <row r="5" spans="1:11" x14ac:dyDescent="0.2">
      <c r="A5" s="8" t="s">
        <v>15</v>
      </c>
      <c r="B5" s="2">
        <v>166560</v>
      </c>
      <c r="C5" s="2">
        <v>74310</v>
      </c>
      <c r="D5" s="2">
        <v>45000</v>
      </c>
      <c r="E5" s="7">
        <v>0.44614553314121036</v>
      </c>
      <c r="J5" s="8" t="s">
        <v>15</v>
      </c>
      <c r="K5" s="2">
        <v>74310</v>
      </c>
    </row>
    <row r="6" spans="1:11" x14ac:dyDescent="0.2">
      <c r="A6" s="13" t="s">
        <v>40</v>
      </c>
      <c r="B6" s="14">
        <v>1676430</v>
      </c>
      <c r="C6" s="14">
        <v>827700</v>
      </c>
      <c r="D6" s="14">
        <v>336600</v>
      </c>
      <c r="E6" s="15">
        <v>0.49372774288219612</v>
      </c>
      <c r="J6" s="13" t="s">
        <v>40</v>
      </c>
      <c r="K6" s="14">
        <v>827700</v>
      </c>
    </row>
    <row r="8" spans="1:11" x14ac:dyDescent="0.2">
      <c r="A8" s="12" t="s">
        <v>39</v>
      </c>
      <c r="B8" s="12" t="s">
        <v>41</v>
      </c>
      <c r="C8" s="12" t="s">
        <v>42</v>
      </c>
      <c r="D8" s="12" t="s">
        <v>43</v>
      </c>
      <c r="E8" s="12" t="s">
        <v>45</v>
      </c>
      <c r="F8" s="12" t="s">
        <v>46</v>
      </c>
      <c r="G8" s="17" t="s">
        <v>47</v>
      </c>
      <c r="J8" s="12" t="s">
        <v>39</v>
      </c>
      <c r="K8" s="12" t="s">
        <v>45</v>
      </c>
    </row>
    <row r="9" spans="1:11" x14ac:dyDescent="0.2">
      <c r="A9" s="8" t="s">
        <v>8</v>
      </c>
      <c r="B9" s="2">
        <v>616950</v>
      </c>
      <c r="C9" s="2">
        <v>308640</v>
      </c>
      <c r="D9" s="2">
        <v>122400</v>
      </c>
      <c r="E9" s="7">
        <v>0.500267444687576</v>
      </c>
      <c r="F9" s="3">
        <v>5.0404411764705879</v>
      </c>
      <c r="G9" t="str">
        <f>IF(E9&gt;=$E$12,"Above Benchmark","Below Benchmark")</f>
        <v>Above Benchmark</v>
      </c>
      <c r="J9" s="8" t="s">
        <v>8</v>
      </c>
      <c r="K9" s="7">
        <v>0.500267444687576</v>
      </c>
    </row>
    <row r="10" spans="1:11" x14ac:dyDescent="0.2">
      <c r="A10" s="8" t="s">
        <v>16</v>
      </c>
      <c r="B10" s="2">
        <v>555630</v>
      </c>
      <c r="C10" s="2">
        <v>271020</v>
      </c>
      <c r="D10" s="2">
        <v>112800</v>
      </c>
      <c r="E10" s="7">
        <v>0.48777063873440957</v>
      </c>
      <c r="F10" s="3">
        <v>4.9257978723404259</v>
      </c>
      <c r="G10" t="str">
        <f>IF(E10&gt;=$E$12,"Above Benchmark","Below Benchmark")</f>
        <v>Below Benchmark</v>
      </c>
      <c r="J10" s="8" t="s">
        <v>16</v>
      </c>
      <c r="K10" s="7">
        <v>0.48777063873440957</v>
      </c>
    </row>
    <row r="11" spans="1:11" x14ac:dyDescent="0.2">
      <c r="A11" s="8" t="s">
        <v>18</v>
      </c>
      <c r="B11" s="2">
        <v>503850</v>
      </c>
      <c r="C11" s="2">
        <v>248040</v>
      </c>
      <c r="D11" s="2">
        <v>101400</v>
      </c>
      <c r="E11" s="7">
        <v>0.49228937183685623</v>
      </c>
      <c r="F11" s="3">
        <v>4.9689349112426031</v>
      </c>
      <c r="G11" t="str">
        <f>IF(E11&gt;=$E$12,"Above Benchmark","Below Benchmark")</f>
        <v>Below Benchmark</v>
      </c>
      <c r="J11" s="8" t="s">
        <v>18</v>
      </c>
      <c r="K11" s="7">
        <v>0.49228937183685623</v>
      </c>
    </row>
    <row r="12" spans="1:11" x14ac:dyDescent="0.2">
      <c r="A12" s="13" t="s">
        <v>40</v>
      </c>
      <c r="B12" s="14">
        <v>1676430</v>
      </c>
      <c r="C12" s="14">
        <v>827700</v>
      </c>
      <c r="D12" s="14">
        <v>336600</v>
      </c>
      <c r="E12" s="15">
        <v>0.49372774288219612</v>
      </c>
      <c r="F12" s="16">
        <v>4.9804812834224599</v>
      </c>
      <c r="J12" s="13" t="s">
        <v>40</v>
      </c>
      <c r="K12" s="15">
        <v>0.49372774288219612</v>
      </c>
    </row>
    <row r="34" spans="1:1" x14ac:dyDescent="0.2">
      <c r="A34" s="18" t="s">
        <v>55</v>
      </c>
    </row>
    <row r="35" spans="1:1" x14ac:dyDescent="0.2">
      <c r="A35" s="18" t="s">
        <v>56</v>
      </c>
    </row>
    <row r="36" spans="1:1" x14ac:dyDescent="0.2">
      <c r="A36" s="18" t="s">
        <v>57</v>
      </c>
    </row>
  </sheetData>
  <conditionalFormatting sqref="G9:G11">
    <cfRule type="containsText" dxfId="1" priority="1" operator="containsText" text="Below">
      <formula>NOT(ISERROR(SEARCH("Below",G9)))</formula>
    </cfRule>
    <cfRule type="containsText" dxfId="0" priority="2" operator="containsText" text="Above">
      <formula>NOT(ISERROR(SEARCH("Above",G9)))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08A2-AA9E-0D44-AAEC-CDFB1DE5BBC2}">
  <dimension ref="B1:H19"/>
  <sheetViews>
    <sheetView showGridLines="0" tabSelected="1" zoomScale="150" zoomScaleNormal="150" workbookViewId="0">
      <selection activeCell="H4" sqref="H4"/>
    </sheetView>
  </sheetViews>
  <sheetFormatPr baseColWidth="10" defaultRowHeight="16" x14ac:dyDescent="0.2"/>
  <cols>
    <col min="1" max="1" width="3.83203125" customWidth="1"/>
    <col min="2" max="2" width="22.83203125" customWidth="1"/>
    <col min="3" max="3" width="3.83203125" customWidth="1"/>
    <col min="4" max="4" width="22.83203125" customWidth="1"/>
    <col min="5" max="5" width="3.83203125" customWidth="1"/>
    <col min="6" max="6" width="22.83203125" customWidth="1"/>
    <col min="7" max="7" width="3.83203125" customWidth="1"/>
    <col min="8" max="8" width="22.83203125" customWidth="1"/>
  </cols>
  <sheetData>
    <row r="1" spans="2:8" ht="18" customHeight="1" x14ac:dyDescent="0.2">
      <c r="B1" s="9" t="s">
        <v>48</v>
      </c>
      <c r="D1" s="9" t="s">
        <v>49</v>
      </c>
      <c r="F1" s="9" t="s">
        <v>50</v>
      </c>
      <c r="H1" s="9" t="s">
        <v>51</v>
      </c>
    </row>
    <row r="2" spans="2:8" ht="42" customHeight="1" x14ac:dyDescent="0.35">
      <c r="B2" s="10">
        <f>Pivot_Analysis!B6</f>
        <v>1676430</v>
      </c>
      <c r="D2" s="10">
        <f>Pivot_Analysis!C6</f>
        <v>827700</v>
      </c>
      <c r="F2" s="11">
        <f>Pivot_Analysis!E6</f>
        <v>0.49372774288219612</v>
      </c>
      <c r="H2" s="10">
        <f>Pivot_Analysis!D6</f>
        <v>336600</v>
      </c>
    </row>
    <row r="3" spans="2:8" ht="10" customHeight="1" x14ac:dyDescent="0.2"/>
    <row r="4" spans="2:8" ht="18" customHeight="1" x14ac:dyDescent="0.2">
      <c r="B4" s="5" t="s">
        <v>52</v>
      </c>
    </row>
    <row r="19" spans="2:2" ht="18" customHeight="1" x14ac:dyDescent="0.2">
      <c r="B19" s="5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Cost_Data</vt:lpstr>
      <vt:lpstr>Pivot_Analysis</vt:lpstr>
      <vt:lpstr>Executive_Dashboard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Gurisha Kaur</dc:creator>
  <cp:lastModifiedBy>Gurisha Kaur</cp:lastModifiedBy>
  <dcterms:created xsi:type="dcterms:W3CDTF">2026-01-16T21:52:28Z</dcterms:created>
  <dcterms:modified xsi:type="dcterms:W3CDTF">2026-02-09T06:46:55Z</dcterms:modified>
</cp:coreProperties>
</file>