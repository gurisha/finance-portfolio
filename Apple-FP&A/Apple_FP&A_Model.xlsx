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ishakaur/Desktop/Portfolio/Financial Planning &amp; Analysis (FP&amp;A) - Apple/02_Final Deliverables/"/>
    </mc:Choice>
  </mc:AlternateContent>
  <xr:revisionPtr revIDLastSave="0" documentId="13_ncr:1_{4D932A2F-4963-C640-A077-343EF8257151}" xr6:coauthVersionLast="47" xr6:coauthVersionMax="47" xr10:uidLastSave="{00000000-0000-0000-0000-000000000000}"/>
  <bookViews>
    <workbookView xWindow="0" yWindow="660" windowWidth="34560" windowHeight="21680" activeTab="3" xr2:uid="{4D29D65A-9697-EA4A-A7F8-C736401162FD}"/>
  </bookViews>
  <sheets>
    <sheet name="Raw_Data" sheetId="1" r:id="rId1"/>
    <sheet name="Clean_Data" sheetId="2" r:id="rId2"/>
    <sheet name="Analysis_Model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3" l="1"/>
  <c r="B39" i="3"/>
  <c r="B38" i="3"/>
  <c r="C34" i="3"/>
  <c r="D34" i="3"/>
  <c r="B34" i="3"/>
  <c r="C33" i="3"/>
  <c r="D33" i="3"/>
  <c r="B33" i="3"/>
  <c r="C32" i="3"/>
  <c r="D32" i="3"/>
  <c r="B32" i="3"/>
  <c r="D31" i="3"/>
  <c r="C31" i="3"/>
  <c r="B31" i="3"/>
  <c r="D30" i="3"/>
  <c r="C30" i="3"/>
  <c r="B30" i="3"/>
  <c r="D29" i="3"/>
  <c r="C29" i="3"/>
  <c r="D28" i="3"/>
  <c r="C28" i="3"/>
  <c r="B29" i="3"/>
  <c r="B28" i="3"/>
  <c r="E2" i="2"/>
  <c r="B15" i="3"/>
  <c r="C9" i="3"/>
  <c r="B11" i="3"/>
  <c r="B10" i="3"/>
  <c r="B4" i="3"/>
  <c r="E3" i="2"/>
  <c r="E5" i="2"/>
  <c r="E7" i="2"/>
  <c r="C11" i="2"/>
  <c r="B11" i="2"/>
  <c r="B9" i="2"/>
  <c r="C10" i="2"/>
  <c r="D10" i="2"/>
  <c r="B10" i="2"/>
  <c r="C8" i="2"/>
  <c r="C9" i="2" s="1"/>
  <c r="D8" i="2"/>
  <c r="B8" i="2"/>
  <c r="C7" i="2"/>
  <c r="D7" i="2"/>
  <c r="F7" i="2" s="1"/>
  <c r="B7" i="2"/>
  <c r="D5" i="2"/>
  <c r="C5" i="2"/>
  <c r="F5" i="2" s="1"/>
  <c r="B5" i="2"/>
  <c r="B6" i="2" s="1"/>
  <c r="D4" i="2"/>
  <c r="C11" i="3" s="1"/>
  <c r="C4" i="2"/>
  <c r="E4" i="2" s="1"/>
  <c r="B4" i="2"/>
  <c r="C3" i="2"/>
  <c r="D3" i="2"/>
  <c r="F3" i="2" s="1"/>
  <c r="B3" i="2"/>
  <c r="B9" i="3" s="1"/>
  <c r="C2" i="2"/>
  <c r="D2" i="2"/>
  <c r="F2" i="2" s="1"/>
  <c r="E3" i="4" s="1"/>
  <c r="B2" i="2"/>
  <c r="B3" i="3" s="1"/>
  <c r="D6" i="2" l="1"/>
  <c r="B5" i="3"/>
  <c r="B3" i="4"/>
  <c r="D9" i="2"/>
  <c r="D11" i="2"/>
  <c r="K3" i="4" s="1"/>
  <c r="F9" i="2"/>
  <c r="B16" i="3"/>
  <c r="E9" i="2"/>
  <c r="F4" i="2"/>
  <c r="C6" i="2"/>
  <c r="F6" i="2" s="1"/>
  <c r="F8" i="2"/>
  <c r="E8" i="2"/>
  <c r="C10" i="3"/>
  <c r="B17" i="3" l="1"/>
  <c r="H3" i="4"/>
  <c r="E6" i="2"/>
</calcChain>
</file>

<file path=xl/sharedStrings.xml><?xml version="1.0" encoding="utf-8"?>
<sst xmlns="http://schemas.openxmlformats.org/spreadsheetml/2006/main" count="63" uniqueCount="48">
  <si>
    <t>Product Revenue</t>
  </si>
  <si>
    <t>Services Revenue</t>
  </si>
  <si>
    <t>Total Revenue</t>
  </si>
  <si>
    <t>Total Cost of Sales</t>
  </si>
  <si>
    <t>Gross Margin</t>
  </si>
  <si>
    <t>R&amp;D Expense</t>
  </si>
  <si>
    <t>SG&amp;A Expense</t>
  </si>
  <si>
    <t>Total Operating Expenses</t>
  </si>
  <si>
    <t>Operating Income</t>
  </si>
  <si>
    <t>Net Income</t>
  </si>
  <si>
    <t>YoY % (24 vs 23)</t>
  </si>
  <si>
    <t>Revenue - Total</t>
  </si>
  <si>
    <t>Revenue - Products</t>
  </si>
  <si>
    <t>Revenue - Services</t>
  </si>
  <si>
    <t>Gross Margin %</t>
  </si>
  <si>
    <t>Operating Expenses</t>
  </si>
  <si>
    <t>Operating Margin %</t>
  </si>
  <si>
    <t>Net Margin %</t>
  </si>
  <si>
    <t>Year</t>
  </si>
  <si>
    <t>Total Revenue ($M)</t>
  </si>
  <si>
    <t>FY23</t>
  </si>
  <si>
    <t>FY24</t>
  </si>
  <si>
    <t>Product Revenue ($M)</t>
  </si>
  <si>
    <t>Services Revenue ($M)</t>
  </si>
  <si>
    <t>Assumption</t>
  </si>
  <si>
    <t>YoY % (25 vs 24)</t>
  </si>
  <si>
    <t>FY25</t>
  </si>
  <si>
    <t>Source: Apple Inc. Form 10-K filings (FY23 – FY25)</t>
  </si>
  <si>
    <t>FY26 Forecast Assumptions</t>
  </si>
  <si>
    <t>Base Case</t>
  </si>
  <si>
    <t>Upside Case</t>
  </si>
  <si>
    <t>Downside Case</t>
  </si>
  <si>
    <t>Product Revenue Growth</t>
  </si>
  <si>
    <t>Services Revenue Growth</t>
  </si>
  <si>
    <t>FY26 Revenue Forecast ($M)</t>
  </si>
  <si>
    <t>Item</t>
  </si>
  <si>
    <t>Base</t>
  </si>
  <si>
    <t>Upside</t>
  </si>
  <si>
    <t>Downside</t>
  </si>
  <si>
    <t>FY25 Product Revenue</t>
  </si>
  <si>
    <t>FY25 Services Revenue</t>
  </si>
  <si>
    <t>Product Growth Assumption</t>
  </si>
  <si>
    <t>Services Growth Assumption</t>
  </si>
  <si>
    <t>FY26 Product Revenue</t>
  </si>
  <si>
    <t>FY26 Services Revenue</t>
  </si>
  <si>
    <t>Total FY26 Revenue</t>
  </si>
  <si>
    <t>Scenario</t>
  </si>
  <si>
    <t>FY26 Total Revenue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</si>
</sst>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37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1" xfId="0" applyBorder="1"/>
    <xf numFmtId="37" fontId="0" fillId="0" borderId="1" xfId="0" applyNumberFormat="1" applyBorder="1"/>
    <xf numFmtId="164" fontId="0" fillId="0" borderId="1" xfId="0" applyNumberFormat="1" applyBorder="1"/>
    <xf numFmtId="37" fontId="3" fillId="0" borderId="1" xfId="0" applyNumberFormat="1" applyFont="1" applyBorder="1"/>
    <xf numFmtId="3" fontId="0" fillId="0" borderId="1" xfId="0" applyNumberFormat="1" applyBorder="1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0" fillId="0" borderId="0" xfId="0"/>
    <xf numFmtId="37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Apple Total Revenue Trend (FY23</a:t>
            </a:r>
            <a:r>
              <a:rPr lang="en-US" sz="1100" baseline="0"/>
              <a:t> - FY25</a:t>
            </a:r>
            <a:r>
              <a:rPr lang="en-US" sz="11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Analysis_Model!$B$2</c:f>
              <c:strCache>
                <c:ptCount val="1"/>
                <c:pt idx="0">
                  <c:v>Total Revenue ($M)</c:v>
                </c:pt>
              </c:strCache>
            </c:strRef>
          </c:tx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Analysis_Model!$A$3:$A$5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Analysis_Model!$B$3:$B$5</c:f>
              <c:numCache>
                <c:formatCode>#,##0_);\(#,##0\)</c:formatCode>
                <c:ptCount val="3"/>
                <c:pt idx="0">
                  <c:v>383285</c:v>
                </c:pt>
                <c:pt idx="1">
                  <c:v>391035</c:v>
                </c:pt>
                <c:pt idx="2">
                  <c:v>416161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9-094E-AF1A-13CEDC1A5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53312"/>
        <c:axId val="729230720"/>
      </c:lineChart>
      <c:catAx>
        <c:axId val="66645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30720"/>
        <c:crosses val="autoZero"/>
        <c:auto val="1"/>
        <c:lblAlgn val="ctr"/>
        <c:lblOffset val="100"/>
        <c:noMultiLvlLbl val="0"/>
      </c:catAx>
      <c:valAx>
        <c:axId val="729230720"/>
        <c:scaling>
          <c:orientation val="minMax"/>
          <c:min val="360000"/>
        </c:scaling>
        <c:delete val="0"/>
        <c:axPos val="l"/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5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Revenue Mix: Products</a:t>
            </a:r>
            <a:r>
              <a:rPr lang="en-US" sz="1100" baseline="0"/>
              <a:t> vs Services (FY23 - FY25)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Analysis_Model!$B$8</c:f>
              <c:strCache>
                <c:ptCount val="1"/>
                <c:pt idx="0">
                  <c:v>Product Revenue ($M)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Analysis_Model!$A$9:$A$11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Analysis_Model!$B$9:$B$11</c:f>
              <c:numCache>
                <c:formatCode>#,##0_);\(#,##0\)</c:formatCode>
                <c:ptCount val="3"/>
                <c:pt idx="0">
                  <c:v>298085</c:v>
                </c:pt>
                <c:pt idx="1">
                  <c:v>294866</c:v>
                </c:pt>
                <c:pt idx="2">
                  <c:v>307003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6-DD44-88AE-CEF98339431E}"/>
            </c:ext>
          </c:extLst>
        </c:ser>
        <c:ser>
          <c:idx val="1"/>
          <c:order val="1"/>
          <c:tx>
            <c:strRef>
              <c:f>Analysis_Model!$C$8</c:f>
              <c:strCache>
                <c:ptCount val="1"/>
                <c:pt idx="0">
                  <c:v>Services Revenue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Analysis_Model!$A$9:$A$11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Analysis_Model!$C$9:$C$11</c:f>
              <c:numCache>
                <c:formatCode>#,##0_);\(#,##0\)</c:formatCode>
                <c:ptCount val="3"/>
                <c:pt idx="0">
                  <c:v>85200</c:v>
                </c:pt>
                <c:pt idx="1">
                  <c:v>96169</c:v>
                </c:pt>
                <c:pt idx="2">
                  <c:v>109158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6-DD44-88AE-CEF98339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3185920"/>
        <c:axId val="753188160"/>
      </c:barChart>
      <c:catAx>
        <c:axId val="7531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188160"/>
        <c:crosses val="autoZero"/>
        <c:auto val="1"/>
        <c:lblAlgn val="ctr"/>
        <c:lblOffset val="100"/>
        <c:noMultiLvlLbl val="0"/>
      </c:catAx>
      <c:valAx>
        <c:axId val="753188160"/>
        <c:scaling>
          <c:orientation val="minMax"/>
        </c:scaling>
        <c:delete val="0"/>
        <c:axPos val="l"/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18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Operating Margin Trend</a:t>
            </a:r>
            <a:r>
              <a:rPr lang="en-US" sz="1100" baseline="0"/>
              <a:t> (FY23 - FY25)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Analysis_Model!$B$14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Analysis_Model!$A$15:$A$17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Analysis_Model!$B$15:$B$17</c:f>
              <c:numCache>
                <c:formatCode>0.0%</c:formatCode>
                <c:ptCount val="3"/>
                <c:pt idx="0">
                  <c:v>0.29821412265024722</c:v>
                </c:pt>
                <c:pt idx="1">
                  <c:v>0.31510222870075566</c:v>
                </c:pt>
                <c:pt idx="2">
                  <c:v>0.31970799762591884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B-AC49-975C-0D1819EF0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323008"/>
        <c:axId val="745005824"/>
      </c:lineChart>
      <c:catAx>
        <c:axId val="7113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05824"/>
        <c:crosses val="autoZero"/>
        <c:auto val="1"/>
        <c:lblAlgn val="ctr"/>
        <c:lblOffset val="100"/>
        <c:noMultiLvlLbl val="0"/>
      </c:catAx>
      <c:valAx>
        <c:axId val="74500582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2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FY26 Revenue Forecast</a:t>
            </a:r>
            <a:r>
              <a:rPr lang="en-US" sz="1050" baseline="0"/>
              <a:t> Scenarios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Analysis_Model!$B$37</c:f>
              <c:strCache>
                <c:ptCount val="1"/>
                <c:pt idx="0">
                  <c:v>FY26 Total Revenue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83-4C48-996D-5D4E0BE6E8AD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83-4C48-996D-5D4E0BE6E8A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83-4C48-996D-5D4E0BE6E8AD}"/>
              </c:ext>
            </c:extLst>
          </c:dPt>
          <c:cat>
            <c:strRef>
              <c:f>Analysis_Model!$A$38:$A$40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Analysis_Model!$B$38:$B$40</c:f>
              <c:numCache>
                <c:formatCode>#,##0</c:formatCode>
                <c:ptCount val="3"/>
                <c:pt idx="0">
                  <c:v>415478.84</c:v>
                </c:pt>
                <c:pt idx="1">
                  <c:v>427963.67000000004</c:v>
                </c:pt>
                <c:pt idx="2">
                  <c:v>438470.05000000005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83-4C48-996D-5D4E0BE6E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494528"/>
        <c:axId val="753490944"/>
      </c:barChart>
      <c:catAx>
        <c:axId val="75349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90944"/>
        <c:crosses val="autoZero"/>
        <c:auto val="1"/>
        <c:lblAlgn val="ctr"/>
        <c:lblOffset val="100"/>
        <c:noMultiLvlLbl val="0"/>
      </c:catAx>
      <c:valAx>
        <c:axId val="7534909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9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165099</xdr:rowOff>
    </xdr:from>
    <xdr:to>
      <xdr:col>3</xdr:col>
      <xdr:colOff>0</xdr:colOff>
      <xdr:row>3</xdr:row>
      <xdr:rowOff>179916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E0DC84-B0A9-9271-4FFA-E33FE53AC944}"/>
            </a:ext>
          </a:extLst>
        </xdr:cNvPr>
        <xdr:cNvSpPr/>
      </xdr:nvSpPr>
      <xdr:spPr>
        <a:xfrm>
          <a:off x="825500" y="165099"/>
          <a:ext cx="1767417" cy="723900"/>
        </a:xfrm>
        <a:prstGeom prst="rect">
          <a:avLst/>
        </a:prstGeom>
        <a:noFill/>
        <a:ln w="12700"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169332</xdr:colOff>
      <xdr:row>0</xdr:row>
      <xdr:rowOff>179916</xdr:rowOff>
    </xdr:from>
    <xdr:to>
      <xdr:col>2</xdr:col>
      <xdr:colOff>709082</xdr:colOff>
      <xdr:row>1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EDEDDD-5393-7EA5-8CB8-7D3A16EC2818}"/>
            </a:ext>
          </a:extLst>
        </xdr:cNvPr>
        <xdr:cNvSpPr txBox="1"/>
      </xdr:nvSpPr>
      <xdr:spPr>
        <a:xfrm>
          <a:off x="994832" y="179916"/>
          <a:ext cx="1481667" cy="211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Total Revenue (FY25, $M)</a:t>
          </a:r>
        </a:p>
      </xdr:txBody>
    </xdr:sp>
    <xdr:clientData/>
  </xdr:twoCellAnchor>
  <xdr:twoCellAnchor>
    <xdr:from>
      <xdr:col>4</xdr:col>
      <xdr:colOff>3529</xdr:colOff>
      <xdr:row>0</xdr:row>
      <xdr:rowOff>165099</xdr:rowOff>
    </xdr:from>
    <xdr:to>
      <xdr:col>6</xdr:col>
      <xdr:colOff>3528</xdr:colOff>
      <xdr:row>3</xdr:row>
      <xdr:rowOff>175681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38DEF8-DB45-E444-8095-C9C4332877A9}"/>
            </a:ext>
          </a:extLst>
        </xdr:cNvPr>
        <xdr:cNvSpPr/>
      </xdr:nvSpPr>
      <xdr:spPr>
        <a:xfrm>
          <a:off x="3421946" y="165099"/>
          <a:ext cx="1767415" cy="719665"/>
        </a:xfrm>
        <a:prstGeom prst="rect">
          <a:avLst/>
        </a:prstGeom>
        <a:noFill/>
        <a:ln w="12700"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30189</xdr:colOff>
      <xdr:row>0</xdr:row>
      <xdr:rowOff>186050</xdr:rowOff>
    </xdr:from>
    <xdr:to>
      <xdr:col>6</xdr:col>
      <xdr:colOff>57726</xdr:colOff>
      <xdr:row>1</xdr:row>
      <xdr:rowOff>184727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4684E59-B921-8F47-8F4E-818C675F8ED8}"/>
            </a:ext>
          </a:extLst>
        </xdr:cNvPr>
        <xdr:cNvSpPr txBox="1"/>
      </xdr:nvSpPr>
      <xdr:spPr>
        <a:xfrm>
          <a:off x="3459189" y="186050"/>
          <a:ext cx="1793992" cy="206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Revenue Growth YoY</a:t>
          </a:r>
          <a:r>
            <a:rPr lang="en-US" sz="1000" baseline="0"/>
            <a:t> % (FY25)</a:t>
          </a:r>
          <a:endParaRPr lang="en-US" sz="1000"/>
        </a:p>
      </xdr:txBody>
    </xdr:sp>
    <xdr:clientData/>
  </xdr:twoCellAnchor>
  <xdr:twoCellAnchor>
    <xdr:from>
      <xdr:col>7</xdr:col>
      <xdr:colOff>7057</xdr:colOff>
      <xdr:row>0</xdr:row>
      <xdr:rowOff>165099</xdr:rowOff>
    </xdr:from>
    <xdr:to>
      <xdr:col>9</xdr:col>
      <xdr:colOff>7057</xdr:colOff>
      <xdr:row>3</xdr:row>
      <xdr:rowOff>179917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DD86405-FFAE-524D-BC13-B744DC0C4705}"/>
            </a:ext>
          </a:extLst>
        </xdr:cNvPr>
        <xdr:cNvSpPr/>
      </xdr:nvSpPr>
      <xdr:spPr>
        <a:xfrm>
          <a:off x="6018390" y="165099"/>
          <a:ext cx="1767417" cy="723901"/>
        </a:xfrm>
        <a:prstGeom prst="rect">
          <a:avLst/>
        </a:prstGeom>
        <a:noFill/>
        <a:ln w="12700"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142990</xdr:colOff>
      <xdr:row>0</xdr:row>
      <xdr:rowOff>185207</xdr:rowOff>
    </xdr:from>
    <xdr:to>
      <xdr:col>8</xdr:col>
      <xdr:colOff>777991</xdr:colOff>
      <xdr:row>1</xdr:row>
      <xdr:rowOff>185208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18A741-CF65-F94B-B984-DF20A54A2E1E}"/>
            </a:ext>
          </a:extLst>
        </xdr:cNvPr>
        <xdr:cNvSpPr txBox="1"/>
      </xdr:nvSpPr>
      <xdr:spPr>
        <a:xfrm>
          <a:off x="6154323" y="185207"/>
          <a:ext cx="1576918" cy="201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Operating</a:t>
          </a:r>
          <a:r>
            <a:rPr lang="en-US" sz="1000" baseline="0"/>
            <a:t> Margin</a:t>
          </a:r>
          <a:r>
            <a:rPr lang="en-US" sz="1000"/>
            <a:t> % (FY25)</a:t>
          </a:r>
        </a:p>
      </xdr:txBody>
    </xdr:sp>
    <xdr:clientData/>
  </xdr:twoCellAnchor>
  <xdr:twoCellAnchor>
    <xdr:from>
      <xdr:col>10</xdr:col>
      <xdr:colOff>10585</xdr:colOff>
      <xdr:row>0</xdr:row>
      <xdr:rowOff>165099</xdr:rowOff>
    </xdr:from>
    <xdr:to>
      <xdr:col>12</xdr:col>
      <xdr:colOff>10583</xdr:colOff>
      <xdr:row>3</xdr:row>
      <xdr:rowOff>175684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2D9556A-7F53-BE45-B7E2-E080972C1C1F}"/>
            </a:ext>
          </a:extLst>
        </xdr:cNvPr>
        <xdr:cNvSpPr/>
      </xdr:nvSpPr>
      <xdr:spPr>
        <a:xfrm>
          <a:off x="8614835" y="165099"/>
          <a:ext cx="1767415" cy="719668"/>
        </a:xfrm>
        <a:prstGeom prst="rect">
          <a:avLst/>
        </a:prstGeom>
        <a:noFill/>
        <a:ln w="12700"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306916</xdr:colOff>
      <xdr:row>0</xdr:row>
      <xdr:rowOff>186050</xdr:rowOff>
    </xdr:from>
    <xdr:to>
      <xdr:col>11</xdr:col>
      <xdr:colOff>682972</xdr:colOff>
      <xdr:row>1</xdr:row>
      <xdr:rowOff>184365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CAFB95-BF96-6244-A1BA-E4AF0565E305}"/>
            </a:ext>
          </a:extLst>
        </xdr:cNvPr>
        <xdr:cNvSpPr txBox="1"/>
      </xdr:nvSpPr>
      <xdr:spPr>
        <a:xfrm>
          <a:off x="8911166" y="186050"/>
          <a:ext cx="1317973" cy="199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Net</a:t>
          </a:r>
          <a:r>
            <a:rPr lang="en-US" sz="1000" baseline="0"/>
            <a:t> Margin %</a:t>
          </a:r>
          <a:r>
            <a:rPr lang="en-US" sz="1000"/>
            <a:t> (FY25)</a:t>
          </a:r>
        </a:p>
      </xdr:txBody>
    </xdr:sp>
    <xdr:clientData/>
  </xdr:twoCellAnchor>
  <xdr:twoCellAnchor>
    <xdr:from>
      <xdr:col>0</xdr:col>
      <xdr:colOff>820208</xdr:colOff>
      <xdr:row>5</xdr:row>
      <xdr:rowOff>4231</xdr:rowOff>
    </xdr:from>
    <xdr:to>
      <xdr:col>8</xdr:col>
      <xdr:colOff>826027</xdr:colOff>
      <xdr:row>21</xdr:row>
      <xdr:rowOff>181293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A4963391-B53A-24C6-D46E-C0CD53EB8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37041</xdr:colOff>
      <xdr:row>5</xdr:row>
      <xdr:rowOff>4233</xdr:rowOff>
    </xdr:from>
    <xdr:to>
      <xdr:col>17</xdr:col>
      <xdr:colOff>250678</xdr:colOff>
      <xdr:row>21</xdr:row>
      <xdr:rowOff>181295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C14B6537-B482-AD12-7310-BAFADCA0D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815878</xdr:colOff>
      <xdr:row>22</xdr:row>
      <xdr:rowOff>25399</xdr:rowOff>
    </xdr:from>
    <xdr:to>
      <xdr:col>8</xdr:col>
      <xdr:colOff>819727</xdr:colOff>
      <xdr:row>38</xdr:row>
      <xdr:rowOff>202460</xdr:rowOff>
    </xdr:to>
    <xdr:graphicFrame macro="">
      <xdr:nvGraphicFramePr>
        <xdr:cNvPr id="18" name="Chart 4">
          <a:extLst>
            <a:ext uri="{FF2B5EF4-FFF2-40B4-BE49-F238E27FC236}">
              <a16:creationId xmlns:a16="http://schemas.microsoft.com/office/drawing/2014/main" id="{880B6A40-714A-A4A5-B112-98920B445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35599</xdr:colOff>
      <xdr:row>22</xdr:row>
      <xdr:rowOff>28285</xdr:rowOff>
    </xdr:from>
    <xdr:to>
      <xdr:col>17</xdr:col>
      <xdr:colOff>249236</xdr:colOff>
      <xdr:row>38</xdr:row>
      <xdr:rowOff>205346</xdr:rowOff>
    </xdr:to>
    <xdr:graphicFrame macro="">
      <xdr:nvGraphicFramePr>
        <xdr:cNvPr id="19" name="Chart 5">
          <a:extLst>
            <a:ext uri="{FF2B5EF4-FFF2-40B4-BE49-F238E27FC236}">
              <a16:creationId xmlns:a16="http://schemas.microsoft.com/office/drawing/2014/main" id="{6BE7BC12-9C0D-AEEC-FBF3-F5E32A7C0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5CCE-DAE5-844E-9EE2-393A116A2731}">
  <dimension ref="A1:D13"/>
  <sheetViews>
    <sheetView showGridLines="0" zoomScale="130" zoomScaleNormal="130" workbookViewId="0">
      <selection activeCell="H18" sqref="H18"/>
    </sheetView>
  </sheetViews>
  <sheetFormatPr baseColWidth="10" defaultRowHeight="16" x14ac:dyDescent="0.2"/>
  <cols>
    <col min="1" max="1" width="21.6640625" bestFit="1" customWidth="1"/>
  </cols>
  <sheetData>
    <row r="1" spans="1:4" x14ac:dyDescent="0.2">
      <c r="A1" s="9"/>
      <c r="B1" s="9">
        <v>2023</v>
      </c>
      <c r="C1" s="9">
        <v>2024</v>
      </c>
      <c r="D1" s="9">
        <v>2025</v>
      </c>
    </row>
    <row r="2" spans="1:4" ht="18" customHeight="1" x14ac:dyDescent="0.2">
      <c r="A2" s="9" t="s">
        <v>0</v>
      </c>
      <c r="B2" s="1">
        <v>298085</v>
      </c>
      <c r="C2" s="1">
        <v>294866</v>
      </c>
      <c r="D2" s="1">
        <v>307003</v>
      </c>
    </row>
    <row r="3" spans="1:4" ht="18" customHeight="1" x14ac:dyDescent="0.2">
      <c r="A3" s="9" t="s">
        <v>1</v>
      </c>
      <c r="B3" s="1">
        <v>85200</v>
      </c>
      <c r="C3" s="1">
        <v>96169</v>
      </c>
      <c r="D3" s="1">
        <v>109158</v>
      </c>
    </row>
    <row r="4" spans="1:4" ht="18" customHeight="1" x14ac:dyDescent="0.2">
      <c r="A4" s="9" t="s">
        <v>2</v>
      </c>
      <c r="B4" s="1">
        <v>383285</v>
      </c>
      <c r="C4" s="1">
        <v>391035</v>
      </c>
      <c r="D4" s="1">
        <v>416161</v>
      </c>
    </row>
    <row r="5" spans="1:4" ht="18" customHeight="1" x14ac:dyDescent="0.2">
      <c r="A5" s="9" t="s">
        <v>3</v>
      </c>
      <c r="B5" s="1">
        <v>214137</v>
      </c>
      <c r="C5" s="1">
        <v>210352</v>
      </c>
      <c r="D5" s="1">
        <v>220960</v>
      </c>
    </row>
    <row r="6" spans="1:4" ht="17" customHeight="1" x14ac:dyDescent="0.2">
      <c r="A6" s="9" t="s">
        <v>4</v>
      </c>
      <c r="B6" s="1">
        <v>169148</v>
      </c>
      <c r="C6" s="1">
        <v>180683</v>
      </c>
      <c r="D6" s="1">
        <v>195201</v>
      </c>
    </row>
    <row r="7" spans="1:4" ht="18" customHeight="1" x14ac:dyDescent="0.2">
      <c r="A7" s="9" t="s">
        <v>5</v>
      </c>
      <c r="B7" s="1">
        <v>29915</v>
      </c>
      <c r="C7" s="1">
        <v>31370</v>
      </c>
      <c r="D7" s="1">
        <v>34550</v>
      </c>
    </row>
    <row r="8" spans="1:4" ht="18" customHeight="1" x14ac:dyDescent="0.2">
      <c r="A8" s="9" t="s">
        <v>6</v>
      </c>
      <c r="B8" s="1">
        <v>24932</v>
      </c>
      <c r="C8" s="1">
        <v>26097</v>
      </c>
      <c r="D8" s="1">
        <v>27601</v>
      </c>
    </row>
    <row r="9" spans="1:4" ht="18" customHeight="1" x14ac:dyDescent="0.2">
      <c r="A9" s="9" t="s">
        <v>7</v>
      </c>
      <c r="B9" s="1">
        <v>54847</v>
      </c>
      <c r="C9" s="1">
        <v>57467</v>
      </c>
      <c r="D9" s="1">
        <v>62151</v>
      </c>
    </row>
    <row r="10" spans="1:4" ht="18" customHeight="1" x14ac:dyDescent="0.2">
      <c r="A10" s="9" t="s">
        <v>8</v>
      </c>
      <c r="B10" s="1">
        <v>114301</v>
      </c>
      <c r="C10" s="1">
        <v>123216</v>
      </c>
      <c r="D10" s="1">
        <v>133050</v>
      </c>
    </row>
    <row r="11" spans="1:4" ht="18" customHeight="1" x14ac:dyDescent="0.2">
      <c r="A11" s="9" t="s">
        <v>9</v>
      </c>
      <c r="B11" s="1">
        <v>96995</v>
      </c>
      <c r="C11" s="1">
        <v>93736</v>
      </c>
      <c r="D11" s="1">
        <v>112010</v>
      </c>
    </row>
    <row r="13" spans="1:4" x14ac:dyDescent="0.2">
      <c r="A13" s="12" t="s">
        <v>27</v>
      </c>
      <c r="B13" s="12"/>
      <c r="C13" s="12"/>
      <c r="D13" s="12"/>
    </row>
  </sheetData>
  <mergeCells count="1"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E3E6-F8DC-2F46-910C-D9B310464A88}">
  <dimension ref="A1:F11"/>
  <sheetViews>
    <sheetView showGridLines="0" zoomScale="130" zoomScaleNormal="130" workbookViewId="0">
      <selection activeCell="M28" sqref="M28"/>
    </sheetView>
  </sheetViews>
  <sheetFormatPr baseColWidth="10" defaultRowHeight="16" x14ac:dyDescent="0.2"/>
  <cols>
    <col min="1" max="1" width="17.33203125" bestFit="1" customWidth="1"/>
    <col min="5" max="5" width="15.1640625" customWidth="1"/>
    <col min="6" max="6" width="15" customWidth="1"/>
  </cols>
  <sheetData>
    <row r="1" spans="1:6" x14ac:dyDescent="0.2">
      <c r="A1" s="9"/>
      <c r="B1" s="9">
        <v>2023</v>
      </c>
      <c r="C1" s="9">
        <v>2024</v>
      </c>
      <c r="D1" s="9">
        <v>2025</v>
      </c>
      <c r="E1" s="9" t="s">
        <v>10</v>
      </c>
      <c r="F1" s="9" t="s">
        <v>25</v>
      </c>
    </row>
    <row r="2" spans="1:6" ht="18" customHeight="1" x14ac:dyDescent="0.2">
      <c r="A2" s="9" t="s">
        <v>11</v>
      </c>
      <c r="B2" s="1">
        <f>Raw_Data!B4</f>
        <v>383285</v>
      </c>
      <c r="C2" s="1">
        <f>Raw_Data!C4</f>
        <v>391035</v>
      </c>
      <c r="D2" s="1">
        <f>Raw_Data!D4</f>
        <v>416161</v>
      </c>
      <c r="E2" s="2">
        <f>(C2/B2)-1</f>
        <v>2.021994077514111E-2</v>
      </c>
      <c r="F2" s="2">
        <f>(D2/C2)-1</f>
        <v>6.425511782832749E-2</v>
      </c>
    </row>
    <row r="3" spans="1:6" ht="18" customHeight="1" x14ac:dyDescent="0.2">
      <c r="A3" s="9" t="s">
        <v>12</v>
      </c>
      <c r="B3" s="1">
        <f>Raw_Data!B2</f>
        <v>298085</v>
      </c>
      <c r="C3" s="1">
        <f>Raw_Data!C2</f>
        <v>294866</v>
      </c>
      <c r="D3" s="1">
        <f>Raw_Data!D2</f>
        <v>307003</v>
      </c>
      <c r="E3" s="2">
        <f t="shared" ref="E3:E9" si="0">(C3/B3)-1</f>
        <v>-1.0798933190197424E-2</v>
      </c>
      <c r="F3" s="2">
        <f t="shared" ref="F3:F9" si="1">(D3/C3)-1</f>
        <v>4.1161069774066972E-2</v>
      </c>
    </row>
    <row r="4" spans="1:6" ht="18" customHeight="1" x14ac:dyDescent="0.2">
      <c r="A4" s="9" t="s">
        <v>13</v>
      </c>
      <c r="B4" s="1">
        <f>Raw_Data!B3</f>
        <v>85200</v>
      </c>
      <c r="C4" s="1">
        <f>Raw_Data!C3</f>
        <v>96169</v>
      </c>
      <c r="D4" s="1">
        <f>Raw_Data!D3</f>
        <v>109158</v>
      </c>
      <c r="E4" s="2">
        <f t="shared" si="0"/>
        <v>0.12874413145539898</v>
      </c>
      <c r="F4" s="2">
        <f t="shared" si="1"/>
        <v>0.13506431386413498</v>
      </c>
    </row>
    <row r="5" spans="1:6" ht="18" customHeight="1" x14ac:dyDescent="0.2">
      <c r="A5" s="9" t="s">
        <v>4</v>
      </c>
      <c r="B5" s="1">
        <f>Raw_Data!B6</f>
        <v>169148</v>
      </c>
      <c r="C5" s="1">
        <f>Raw_Data!C6</f>
        <v>180683</v>
      </c>
      <c r="D5" s="1">
        <f>Raw_Data!D6</f>
        <v>195201</v>
      </c>
      <c r="E5" s="2">
        <f t="shared" si="0"/>
        <v>6.8194717052522114E-2</v>
      </c>
      <c r="F5" s="2">
        <f t="shared" si="1"/>
        <v>8.0350669404426478E-2</v>
      </c>
    </row>
    <row r="6" spans="1:6" ht="18" customHeight="1" x14ac:dyDescent="0.2">
      <c r="A6" s="9" t="s">
        <v>14</v>
      </c>
      <c r="B6" s="2">
        <f>B5/B2</f>
        <v>0.44131129577207562</v>
      </c>
      <c r="C6" s="2">
        <f t="shared" ref="C6:D6" si="2">C5/C2</f>
        <v>0.46206349815233932</v>
      </c>
      <c r="D6" s="2">
        <f t="shared" si="2"/>
        <v>0.46905164107160452</v>
      </c>
      <c r="E6" s="2">
        <f t="shared" si="0"/>
        <v>4.7023954698367065E-2</v>
      </c>
      <c r="F6" s="2">
        <f t="shared" si="1"/>
        <v>1.5123771834842703E-2</v>
      </c>
    </row>
    <row r="7" spans="1:6" ht="18" customHeight="1" x14ac:dyDescent="0.2">
      <c r="A7" s="9" t="s">
        <v>15</v>
      </c>
      <c r="B7" s="1">
        <f>Raw_Data!B9</f>
        <v>54847</v>
      </c>
      <c r="C7" s="1">
        <f>Raw_Data!C9</f>
        <v>57467</v>
      </c>
      <c r="D7" s="1">
        <f>Raw_Data!D9</f>
        <v>62151</v>
      </c>
      <c r="E7" s="2">
        <f t="shared" si="0"/>
        <v>4.7769249001768488E-2</v>
      </c>
      <c r="F7" s="2">
        <f t="shared" si="1"/>
        <v>8.1507647867471666E-2</v>
      </c>
    </row>
    <row r="8" spans="1:6" ht="18" customHeight="1" x14ac:dyDescent="0.2">
      <c r="A8" s="9" t="s">
        <v>8</v>
      </c>
      <c r="B8" s="1">
        <f>Raw_Data!B10</f>
        <v>114301</v>
      </c>
      <c r="C8" s="1">
        <f>Raw_Data!C10</f>
        <v>123216</v>
      </c>
      <c r="D8" s="1">
        <f>Raw_Data!D10</f>
        <v>133050</v>
      </c>
      <c r="E8" s="2">
        <f t="shared" si="0"/>
        <v>7.7995818059334532E-2</v>
      </c>
      <c r="F8" s="2">
        <f t="shared" si="1"/>
        <v>7.9811063498246959E-2</v>
      </c>
    </row>
    <row r="9" spans="1:6" ht="18" customHeight="1" x14ac:dyDescent="0.2">
      <c r="A9" s="9" t="s">
        <v>16</v>
      </c>
      <c r="B9" s="2">
        <f>B8/B2</f>
        <v>0.29821412265024722</v>
      </c>
      <c r="C9" s="2">
        <f t="shared" ref="C9:D9" si="3">C8/C2</f>
        <v>0.31510222870075566</v>
      </c>
      <c r="D9" s="2">
        <f t="shared" si="3"/>
        <v>0.31970799762591884</v>
      </c>
      <c r="E9" s="2">
        <f t="shared" si="0"/>
        <v>5.6630805745961466E-2</v>
      </c>
      <c r="F9" s="2">
        <f t="shared" si="1"/>
        <v>1.4616744997818287E-2</v>
      </c>
    </row>
    <row r="10" spans="1:6" ht="18" customHeight="1" x14ac:dyDescent="0.2">
      <c r="A10" s="9" t="s">
        <v>9</v>
      </c>
      <c r="B10" s="1">
        <f>Raw_Data!B11</f>
        <v>96995</v>
      </c>
      <c r="C10" s="1">
        <f>Raw_Data!C11</f>
        <v>93736</v>
      </c>
      <c r="D10" s="1">
        <f>Raw_Data!D11</f>
        <v>112010</v>
      </c>
      <c r="E10" s="3"/>
      <c r="F10" s="3"/>
    </row>
    <row r="11" spans="1:6" ht="18" customHeight="1" x14ac:dyDescent="0.2">
      <c r="A11" s="9" t="s">
        <v>17</v>
      </c>
      <c r="B11" s="2">
        <f>B10/B2</f>
        <v>0.25306234264320282</v>
      </c>
      <c r="C11" s="2">
        <f t="shared" ref="C11:D11" si="4">C10/C2</f>
        <v>0.23971255769943867</v>
      </c>
      <c r="D11" s="2">
        <f t="shared" si="4"/>
        <v>0.26915064121818238</v>
      </c>
      <c r="E11" s="3"/>
      <c r="F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4A85-CBAF-8541-BC5E-816D1DF95137}">
  <dimension ref="A2:D40"/>
  <sheetViews>
    <sheetView showGridLines="0" zoomScale="120" zoomScaleNormal="120" workbookViewId="0">
      <selection activeCell="O21" sqref="O21"/>
    </sheetView>
  </sheetViews>
  <sheetFormatPr baseColWidth="10" defaultRowHeight="16" x14ac:dyDescent="0.2"/>
  <cols>
    <col min="1" max="1" width="25.6640625" customWidth="1"/>
    <col min="2" max="2" width="21.1640625" bestFit="1" customWidth="1"/>
    <col min="3" max="3" width="19.6640625" bestFit="1" customWidth="1"/>
    <col min="4" max="4" width="13.6640625" bestFit="1" customWidth="1"/>
  </cols>
  <sheetData>
    <row r="2" spans="1:3" x14ac:dyDescent="0.2">
      <c r="A2" s="10" t="s">
        <v>18</v>
      </c>
      <c r="B2" s="10" t="s">
        <v>19</v>
      </c>
    </row>
    <row r="3" spans="1:3" x14ac:dyDescent="0.2">
      <c r="A3" s="4" t="s">
        <v>20</v>
      </c>
      <c r="B3" s="5">
        <f>Clean_Data!B2</f>
        <v>383285</v>
      </c>
    </row>
    <row r="4" spans="1:3" x14ac:dyDescent="0.2">
      <c r="A4" s="4" t="s">
        <v>21</v>
      </c>
      <c r="B4" s="5">
        <f>Clean_Data!C2</f>
        <v>391035</v>
      </c>
    </row>
    <row r="5" spans="1:3" x14ac:dyDescent="0.2">
      <c r="A5" s="4" t="s">
        <v>26</v>
      </c>
      <c r="B5" s="5">
        <f>Clean_Data!D2</f>
        <v>416161</v>
      </c>
    </row>
    <row r="8" spans="1:3" x14ac:dyDescent="0.2">
      <c r="A8" s="10" t="s">
        <v>18</v>
      </c>
      <c r="B8" s="10" t="s">
        <v>22</v>
      </c>
      <c r="C8" s="10" t="s">
        <v>23</v>
      </c>
    </row>
    <row r="9" spans="1:3" x14ac:dyDescent="0.2">
      <c r="A9" s="4" t="s">
        <v>20</v>
      </c>
      <c r="B9" s="5">
        <f>Clean_Data!B3</f>
        <v>298085</v>
      </c>
      <c r="C9" s="5">
        <f>Clean_Data!B4</f>
        <v>85200</v>
      </c>
    </row>
    <row r="10" spans="1:3" x14ac:dyDescent="0.2">
      <c r="A10" s="4" t="s">
        <v>21</v>
      </c>
      <c r="B10" s="5">
        <f>Clean_Data!C3</f>
        <v>294866</v>
      </c>
      <c r="C10" s="5">
        <f>Clean_Data!C4</f>
        <v>96169</v>
      </c>
    </row>
    <row r="11" spans="1:3" x14ac:dyDescent="0.2">
      <c r="A11" s="4" t="s">
        <v>26</v>
      </c>
      <c r="B11" s="5">
        <f>Clean_Data!D3</f>
        <v>307003</v>
      </c>
      <c r="C11" s="5">
        <f>Clean_Data!D4</f>
        <v>109158</v>
      </c>
    </row>
    <row r="14" spans="1:3" x14ac:dyDescent="0.2">
      <c r="A14" s="10" t="s">
        <v>18</v>
      </c>
      <c r="B14" s="10" t="s">
        <v>16</v>
      </c>
    </row>
    <row r="15" spans="1:3" x14ac:dyDescent="0.2">
      <c r="A15" s="4" t="s">
        <v>20</v>
      </c>
      <c r="B15" s="6">
        <f>Clean_Data!B9</f>
        <v>0.29821412265024722</v>
      </c>
    </row>
    <row r="16" spans="1:3" x14ac:dyDescent="0.2">
      <c r="A16" s="4" t="s">
        <v>21</v>
      </c>
      <c r="B16" s="6">
        <f>Clean_Data!C9</f>
        <v>0.31510222870075566</v>
      </c>
    </row>
    <row r="17" spans="1:4" x14ac:dyDescent="0.2">
      <c r="A17" s="4" t="s">
        <v>26</v>
      </c>
      <c r="B17" s="6">
        <f>Clean_Data!D9</f>
        <v>0.31970799762591884</v>
      </c>
    </row>
    <row r="20" spans="1:4" x14ac:dyDescent="0.2">
      <c r="A20" s="11" t="s">
        <v>28</v>
      </c>
    </row>
    <row r="21" spans="1:4" x14ac:dyDescent="0.2">
      <c r="A21" s="10" t="s">
        <v>24</v>
      </c>
      <c r="B21" s="10" t="s">
        <v>29</v>
      </c>
      <c r="C21" s="10" t="s">
        <v>30</v>
      </c>
      <c r="D21" s="10" t="s">
        <v>31</v>
      </c>
    </row>
    <row r="22" spans="1:4" x14ac:dyDescent="0.2">
      <c r="A22" s="4" t="s">
        <v>32</v>
      </c>
      <c r="B22" s="6">
        <v>0.01</v>
      </c>
      <c r="C22" s="6">
        <v>0.03</v>
      </c>
      <c r="D22" s="6">
        <v>-0.02</v>
      </c>
    </row>
    <row r="23" spans="1:4" x14ac:dyDescent="0.2">
      <c r="A23" s="4" t="s">
        <v>33</v>
      </c>
      <c r="B23" s="6">
        <v>0.08</v>
      </c>
      <c r="C23" s="6">
        <v>0.12</v>
      </c>
      <c r="D23" s="6">
        <v>0.05</v>
      </c>
    </row>
    <row r="26" spans="1:4" x14ac:dyDescent="0.2">
      <c r="A26" s="11" t="s">
        <v>34</v>
      </c>
    </row>
    <row r="27" spans="1:4" x14ac:dyDescent="0.2">
      <c r="A27" s="10" t="s">
        <v>35</v>
      </c>
      <c r="B27" s="10" t="s">
        <v>36</v>
      </c>
      <c r="C27" s="10" t="s">
        <v>37</v>
      </c>
      <c r="D27" s="10" t="s">
        <v>38</v>
      </c>
    </row>
    <row r="28" spans="1:4" x14ac:dyDescent="0.2">
      <c r="A28" s="4" t="s">
        <v>39</v>
      </c>
      <c r="B28" s="5">
        <f>Clean_Data!D3</f>
        <v>307003</v>
      </c>
      <c r="C28" s="5">
        <f>Clean_Data!D3</f>
        <v>307003</v>
      </c>
      <c r="D28" s="7">
        <f>Clean_Data!D3</f>
        <v>307003</v>
      </c>
    </row>
    <row r="29" spans="1:4" x14ac:dyDescent="0.2">
      <c r="A29" s="4" t="s">
        <v>40</v>
      </c>
      <c r="B29" s="5">
        <f>Clean_Data!D4</f>
        <v>109158</v>
      </c>
      <c r="C29" s="5">
        <f>Clean_Data!D4</f>
        <v>109158</v>
      </c>
      <c r="D29" s="5">
        <f>Clean_Data!D4</f>
        <v>109158</v>
      </c>
    </row>
    <row r="30" spans="1:4" x14ac:dyDescent="0.2">
      <c r="A30" s="4" t="s">
        <v>41</v>
      </c>
      <c r="B30" s="6">
        <f t="shared" ref="B30:D31" si="0">B22</f>
        <v>0.01</v>
      </c>
      <c r="C30" s="6">
        <f t="shared" si="0"/>
        <v>0.03</v>
      </c>
      <c r="D30" s="6">
        <f t="shared" si="0"/>
        <v>-0.02</v>
      </c>
    </row>
    <row r="31" spans="1:4" x14ac:dyDescent="0.2">
      <c r="A31" s="4" t="s">
        <v>42</v>
      </c>
      <c r="B31" s="6">
        <f t="shared" si="0"/>
        <v>0.08</v>
      </c>
      <c r="C31" s="6">
        <f t="shared" si="0"/>
        <v>0.12</v>
      </c>
      <c r="D31" s="6">
        <f t="shared" si="0"/>
        <v>0.05</v>
      </c>
    </row>
    <row r="32" spans="1:4" x14ac:dyDescent="0.2">
      <c r="A32" s="4" t="s">
        <v>43</v>
      </c>
      <c r="B32" s="8">
        <f>B28 * (1 + B30)</f>
        <v>310073.03000000003</v>
      </c>
      <c r="C32" s="8">
        <f>C28 * (1 + C30)</f>
        <v>316213.09000000003</v>
      </c>
      <c r="D32" s="8">
        <f t="shared" ref="D32" si="1">D28 * (1 + D30)</f>
        <v>300862.94</v>
      </c>
    </row>
    <row r="33" spans="1:4" x14ac:dyDescent="0.2">
      <c r="A33" s="4" t="s">
        <v>44</v>
      </c>
      <c r="B33" s="8">
        <f>B29 * (1 + B31)</f>
        <v>117890.64000000001</v>
      </c>
      <c r="C33" s="8">
        <f>C29 * (1 + C31)</f>
        <v>122256.96000000001</v>
      </c>
      <c r="D33" s="8">
        <f t="shared" ref="D33" si="2">D29 * (1 + D31)</f>
        <v>114615.90000000001</v>
      </c>
    </row>
    <row r="34" spans="1:4" x14ac:dyDescent="0.2">
      <c r="A34" s="4" t="s">
        <v>45</v>
      </c>
      <c r="B34" s="8">
        <f>SUM(B32:B33)</f>
        <v>427963.67000000004</v>
      </c>
      <c r="C34" s="8">
        <f t="shared" ref="C34:D34" si="3">SUM(C32:C33)</f>
        <v>438470.05000000005</v>
      </c>
      <c r="D34" s="8">
        <f t="shared" si="3"/>
        <v>415478.84</v>
      </c>
    </row>
    <row r="37" spans="1:4" x14ac:dyDescent="0.2">
      <c r="A37" s="10" t="s">
        <v>46</v>
      </c>
      <c r="B37" s="10" t="s">
        <v>47</v>
      </c>
    </row>
    <row r="38" spans="1:4" x14ac:dyDescent="0.2">
      <c r="A38" s="4" t="s">
        <v>38</v>
      </c>
      <c r="B38" s="8">
        <f>D34</f>
        <v>415478.84</v>
      </c>
    </row>
    <row r="39" spans="1:4" x14ac:dyDescent="0.2">
      <c r="A39" s="4" t="s">
        <v>36</v>
      </c>
      <c r="B39" s="8">
        <f>B34</f>
        <v>427963.67000000004</v>
      </c>
    </row>
    <row r="40" spans="1:4" x14ac:dyDescent="0.2">
      <c r="A40" s="4" t="s">
        <v>37</v>
      </c>
      <c r="B40" s="8">
        <f>C34</f>
        <v>438470.05000000005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F388-B8ED-2449-9BCC-20BF73292EF3}">
  <dimension ref="B3:L3"/>
  <sheetViews>
    <sheetView showGridLines="0" tabSelected="1" zoomScale="123" zoomScaleNormal="123" workbookViewId="0">
      <selection activeCell="Z27" sqref="Z27"/>
    </sheetView>
  </sheetViews>
  <sheetFormatPr baseColWidth="10" defaultRowHeight="16" x14ac:dyDescent="0.2"/>
  <cols>
    <col min="2" max="2" width="12.33203125" bestFit="1" customWidth="1"/>
    <col min="3" max="3" width="10.83203125" customWidth="1"/>
    <col min="5" max="5" width="12.33203125" customWidth="1"/>
    <col min="8" max="8" width="12.33203125" customWidth="1"/>
    <col min="11" max="11" width="12.33203125" customWidth="1"/>
  </cols>
  <sheetData>
    <row r="3" spans="2:12" ht="24" x14ac:dyDescent="0.3">
      <c r="B3" s="13">
        <f>Clean_Data!D2</f>
        <v>416161</v>
      </c>
      <c r="C3" s="13"/>
      <c r="E3" s="14">
        <f>Clean_Data!F2</f>
        <v>6.425511782832749E-2</v>
      </c>
      <c r="F3" s="14"/>
      <c r="H3" s="14">
        <f>Clean_Data!D9</f>
        <v>0.31970799762591884</v>
      </c>
      <c r="I3" s="14"/>
      <c r="K3" s="14">
        <f>Clean_Data!D11</f>
        <v>0.26915064121818238</v>
      </c>
      <c r="L3" s="14"/>
    </row>
  </sheetData>
  <mergeCells count="4">
    <mergeCell ref="B3:C3"/>
    <mergeCell ref="E3:F3"/>
    <mergeCell ref="H3:I3"/>
    <mergeCell ref="K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Analysis_Model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Gurisha Kaur</dc:creator>
  <cp:lastModifiedBy>Gurisha Kaur</cp:lastModifiedBy>
  <dcterms:created xsi:type="dcterms:W3CDTF">2025-12-31T06:12:32Z</dcterms:created>
  <dcterms:modified xsi:type="dcterms:W3CDTF">2026-02-09T07:12:04Z</dcterms:modified>
</cp:coreProperties>
</file>